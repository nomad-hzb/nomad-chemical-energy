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ocal_D7V9SV3\Desktop\"/>
    </mc:Choice>
  </mc:AlternateContent>
  <xr:revisionPtr revIDLastSave="0" documentId="13_ncr:1_{A1232A3B-56E2-4D76-BC37-FDD4A8DBD0B5}" xr6:coauthVersionLast="47" xr6:coauthVersionMax="47" xr10:uidLastSave="{00000000-0000-0000-0000-000000000000}"/>
  <bookViews>
    <workbookView xWindow="-28920" yWindow="-120" windowWidth="29040" windowHeight="17520" tabRatio="500" xr2:uid="{00000000-000D-0000-FFFF-FFFF00000000}"/>
  </bookViews>
  <sheets>
    <sheet name="NESD Metadata" sheetId="1" r:id="rId1"/>
    <sheet name="Instructions" sheetId="2" r:id="rId2"/>
    <sheet name="Metadata Lists for Dropdow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50" i="3" l="1"/>
  <c r="O49" i="3"/>
  <c r="O48" i="3"/>
  <c r="O47" i="3"/>
  <c r="O46" i="3"/>
  <c r="O45" i="3"/>
  <c r="O44" i="3"/>
  <c r="O43" i="3"/>
  <c r="O42" i="3"/>
  <c r="O41" i="3"/>
  <c r="Y40" i="3"/>
  <c r="O40" i="3"/>
  <c r="E40" i="3"/>
  <c r="Y39" i="3"/>
  <c r="O39" i="3"/>
  <c r="E39" i="3"/>
  <c r="Y38" i="3"/>
  <c r="O38" i="3"/>
  <c r="E38" i="3"/>
  <c r="Y37" i="3"/>
  <c r="O37" i="3"/>
  <c r="E37" i="3"/>
  <c r="Y36" i="3"/>
  <c r="O36" i="3"/>
  <c r="E36" i="3"/>
  <c r="Y35" i="3"/>
  <c r="O35" i="3"/>
  <c r="E35" i="3"/>
  <c r="Y34" i="3"/>
  <c r="O34" i="3"/>
  <c r="E34" i="3"/>
  <c r="Y33" i="3"/>
  <c r="O33" i="3"/>
  <c r="E33" i="3"/>
  <c r="Y32" i="3"/>
  <c r="O32" i="3"/>
  <c r="E32" i="3"/>
  <c r="Y31" i="3"/>
  <c r="O31" i="3"/>
  <c r="E31" i="3"/>
  <c r="Y30" i="3"/>
  <c r="O30" i="3"/>
  <c r="E30" i="3"/>
  <c r="Y29" i="3"/>
  <c r="O29" i="3"/>
  <c r="E29" i="3"/>
  <c r="Y28" i="3"/>
  <c r="O28" i="3"/>
  <c r="E28" i="3"/>
  <c r="Y27" i="3"/>
  <c r="O27" i="3"/>
  <c r="E27" i="3"/>
  <c r="Y26" i="3"/>
  <c r="O26" i="3"/>
  <c r="E26" i="3"/>
  <c r="Y25" i="3"/>
  <c r="O25" i="3"/>
  <c r="E25" i="3"/>
  <c r="Y24" i="3"/>
  <c r="O24" i="3"/>
  <c r="E24" i="3"/>
  <c r="Y23" i="3"/>
  <c r="O23" i="3"/>
  <c r="E23" i="3"/>
  <c r="Y22" i="3"/>
  <c r="O22" i="3"/>
  <c r="E22" i="3"/>
  <c r="Y21" i="3"/>
  <c r="O21" i="3"/>
  <c r="E21" i="3"/>
  <c r="Y20" i="3"/>
  <c r="O20" i="3"/>
  <c r="E20" i="3"/>
  <c r="Y19" i="3"/>
  <c r="O19" i="3"/>
  <c r="E19" i="3"/>
  <c r="Y18" i="3"/>
  <c r="O18" i="3"/>
  <c r="E18" i="3"/>
  <c r="Y17" i="3"/>
  <c r="O17" i="3"/>
  <c r="E17" i="3"/>
  <c r="Y16" i="3"/>
  <c r="O16" i="3"/>
  <c r="E16" i="3"/>
  <c r="Y15" i="3"/>
  <c r="O15" i="3"/>
  <c r="E15" i="3"/>
  <c r="Y14" i="3"/>
  <c r="O14" i="3"/>
  <c r="E14" i="3"/>
  <c r="Y13" i="3"/>
  <c r="O13" i="3"/>
  <c r="E13" i="3"/>
  <c r="Y12" i="3"/>
  <c r="O12" i="3"/>
  <c r="E12" i="3"/>
  <c r="Y11" i="3"/>
  <c r="O11" i="3"/>
  <c r="E11" i="3"/>
  <c r="Y10" i="3"/>
  <c r="O10" i="3"/>
  <c r="E10" i="3"/>
  <c r="Y9" i="3"/>
  <c r="O9" i="3"/>
  <c r="E9" i="3"/>
  <c r="Y8" i="3"/>
  <c r="O8" i="3"/>
  <c r="E8" i="3"/>
  <c r="Y7" i="3"/>
  <c r="O7" i="3"/>
  <c r="E7" i="3"/>
  <c r="Y6" i="3"/>
  <c r="O6" i="3"/>
  <c r="E6" i="3"/>
  <c r="Y5" i="3"/>
  <c r="O5" i="3"/>
  <c r="E5" i="3"/>
  <c r="Y4" i="3"/>
  <c r="O4" i="3"/>
  <c r="E4" i="3"/>
  <c r="Y3" i="3"/>
  <c r="O3" i="3"/>
  <c r="E3" i="3"/>
</calcChain>
</file>

<file path=xl/sharedStrings.xml><?xml version="1.0" encoding="utf-8"?>
<sst xmlns="http://schemas.openxmlformats.org/spreadsheetml/2006/main" count="495" uniqueCount="249">
  <si>
    <t>Field</t>
  </si>
  <si>
    <t>Value</t>
  </si>
  <si>
    <t>Unit</t>
  </si>
  <si>
    <t>Comment</t>
  </si>
  <si>
    <t>Electrode Preparation</t>
  </si>
  <si>
    <t>Preparation Date</t>
  </si>
  <si>
    <t>MM/DD/YYYY</t>
  </si>
  <si>
    <t>Preparing Person</t>
  </si>
  <si>
    <t xml:space="preserve">Active Material Common Name </t>
  </si>
  <si>
    <t>Sample ID</t>
  </si>
  <si>
    <t>The ID should be unique within NOMAD. Leave the field blank to get an automatically generated NOMAD ID.</t>
  </si>
  <si>
    <t>Solvents</t>
  </si>
  <si>
    <t>IPA, DI Water</t>
  </si>
  <si>
    <t>Solvent Volumes</t>
  </si>
  <si>
    <t>0.796 ml ethanol, 0.2 ml UP Water, 0.04 ml Nafion</t>
  </si>
  <si>
    <t>ml</t>
  </si>
  <si>
    <t>Multiple entries should be separated with comma.</t>
  </si>
  <si>
    <t>Solutes</t>
  </si>
  <si>
    <t>chemical formula of catalyst and Mxene separated with comma</t>
  </si>
  <si>
    <t>Solute Masses</t>
  </si>
  <si>
    <t>mg</t>
  </si>
  <si>
    <t>MXene Addition</t>
  </si>
  <si>
    <t>%</t>
  </si>
  <si>
    <t>Mxene ID</t>
  </si>
  <si>
    <t>this ID is used to link to more detailed Mxene parameters that are stored in NOMAD</t>
  </si>
  <si>
    <t>Binder</t>
  </si>
  <si>
    <t>Nafion (5wt%)</t>
  </si>
  <si>
    <t>DropDown available</t>
  </si>
  <si>
    <t>Notes (Electrode Preparation)</t>
  </si>
  <si>
    <t>Electrochemical Measurement</t>
  </si>
  <si>
    <t>Reaction Type</t>
  </si>
  <si>
    <t>Potentiostat Model</t>
  </si>
  <si>
    <t>Potential Conversion Method</t>
  </si>
  <si>
    <t>iR compensation</t>
  </si>
  <si>
    <t>Experimentalist: Name</t>
  </si>
  <si>
    <t>Measurement Date</t>
  </si>
  <si>
    <t>General Information and Notes</t>
  </si>
  <si>
    <t>For 3 Electrode Setup:</t>
  </si>
  <si>
    <t>Catalyst Loading</t>
  </si>
  <si>
    <t>mg/cm2</t>
  </si>
  <si>
    <t>Total mass of hybrid catalyst on electrode after drying</t>
  </si>
  <si>
    <t>dried on substrate</t>
  </si>
  <si>
    <t>MXene Layer Thickness</t>
  </si>
  <si>
    <t>nm</t>
  </si>
  <si>
    <t>in case of thin film deposition</t>
  </si>
  <si>
    <t>Metal Layer Thickness</t>
  </si>
  <si>
    <t>anyting without Mxene</t>
  </si>
  <si>
    <t>Catalyst Layer Deposition Method</t>
  </si>
  <si>
    <t>Deposition Volume</t>
  </si>
  <si>
    <t>μl</t>
  </si>
  <si>
    <t>Substrate Type</t>
  </si>
  <si>
    <t>Substrate Cleaning</t>
  </si>
  <si>
    <t>Drying Temperature</t>
  </si>
  <si>
    <t>°C</t>
  </si>
  <si>
    <t>Notes (Deposition Method)</t>
  </si>
  <si>
    <t>Working Electrode: Active Area</t>
  </si>
  <si>
    <t>cm²</t>
  </si>
  <si>
    <t>Reference Electrode: Type</t>
  </si>
  <si>
    <t>Reference Electrode: Standard Potential at 25 °C</t>
  </si>
  <si>
    <t>V</t>
  </si>
  <si>
    <t>enter 0 if unknown</t>
  </si>
  <si>
    <t>Reference Electrode: Temperature</t>
  </si>
  <si>
    <t>Counter Electrode Material</t>
  </si>
  <si>
    <t>Electrode Holder &amp; Conductive Connection</t>
  </si>
  <si>
    <t>Electrolyte: Substance</t>
  </si>
  <si>
    <t>Electrolyte: Concentration</t>
  </si>
  <si>
    <t>molar</t>
  </si>
  <si>
    <t>Electrolyte: pH</t>
  </si>
  <si>
    <t>Electrolyte: Purging Gas</t>
  </si>
  <si>
    <t>Electrolyte: Purging Temperature</t>
  </si>
  <si>
    <t>Electrolyte: Purging Time</t>
  </si>
  <si>
    <t>min</t>
  </si>
  <si>
    <t>Notes</t>
  </si>
  <si>
    <t>For RDE:</t>
  </si>
  <si>
    <t>on electrode</t>
  </si>
  <si>
    <t>for AEM or PEM:</t>
  </si>
  <si>
    <t>Membrane</t>
  </si>
  <si>
    <t>Anode Substrate Type</t>
  </si>
  <si>
    <t>add missing information in sheet “Metadata Lists for Dropdowns”</t>
  </si>
  <si>
    <t>Anode Catalyst</t>
  </si>
  <si>
    <t>Anode Catalyst Loading</t>
  </si>
  <si>
    <t>Anode Gasket Type</t>
  </si>
  <si>
    <t>Anode Gasket Thickness</t>
  </si>
  <si>
    <t>mm</t>
  </si>
  <si>
    <t>Anode Ionomer</t>
  </si>
  <si>
    <t>Anode Membrane</t>
  </si>
  <si>
    <t>Anode Catalyst Layer Preparation Method</t>
  </si>
  <si>
    <t>Anode Catalyst Layer Thickness</t>
  </si>
  <si>
    <t>Anode Substrate Cleaning</t>
  </si>
  <si>
    <t>Anode Deposition Tool</t>
  </si>
  <si>
    <t>Anode Deposition Recipe</t>
  </si>
  <si>
    <t>if known, name of receipe of tool</t>
  </si>
  <si>
    <t>Anode Ink Composition</t>
  </si>
  <si>
    <t>Anolyte: Substance</t>
  </si>
  <si>
    <t>Anolyte: Concentration</t>
  </si>
  <si>
    <t>Anolyte: Notes</t>
  </si>
  <si>
    <t>Notes (Anode)</t>
  </si>
  <si>
    <t>Cathode Substrate Type</t>
  </si>
  <si>
    <t xml:space="preserve">Carbon paper, , , µm, ion power, 36BC grade GDL', , </t>
  </si>
  <si>
    <t>Cathode Catalyst</t>
  </si>
  <si>
    <t>Cathode Catalyst Loading</t>
  </si>
  <si>
    <t>Gasket Type</t>
  </si>
  <si>
    <t>Gasket Thickness</t>
  </si>
  <si>
    <t>Cathode Ionomer</t>
  </si>
  <si>
    <t>Cathode Membrane</t>
  </si>
  <si>
    <t>Cathode Catalyst Layer Preparation Method</t>
  </si>
  <si>
    <t>Cathode Catalyst Layer Thickness</t>
  </si>
  <si>
    <t>Cathode Substrate Cleaning</t>
  </si>
  <si>
    <t>Cathode Deposition Tool</t>
  </si>
  <si>
    <t>Cathode Deposition Recipe</t>
  </si>
  <si>
    <t>Cathode Ink Composition</t>
  </si>
  <si>
    <t>Catholyte: Substance</t>
  </si>
  <si>
    <t>Catholyte: Concentration</t>
  </si>
  <si>
    <t>Catholyte: Notes</t>
  </si>
  <si>
    <t>Notes (Cathode)</t>
  </si>
  <si>
    <t>Torque</t>
  </si>
  <si>
    <t>Nm</t>
  </si>
  <si>
    <t>Flow Rate</t>
  </si>
  <si>
    <t>ml/min</t>
  </si>
  <si>
    <t>Peristaltic Pump Info</t>
  </si>
  <si>
    <t>for Half-Cell:</t>
  </si>
  <si>
    <t>Catalyst Material</t>
  </si>
  <si>
    <t>Ionomer</t>
  </si>
  <si>
    <t>Gas</t>
  </si>
  <si>
    <t>Gas Flow Rate</t>
  </si>
  <si>
    <t>NESD Metadata Form Instructions</t>
  </si>
  <si>
    <t>Visit the “NESD Metadata” sheet of this excel and fill the “Value” Column for all white rows at the top of the sheet.</t>
  </si>
  <si>
    <t>Then choose ONE of the colors and fill in the “Value” column for each field of that color. The “Value” column for all other colors should remain empty.</t>
  </si>
  <si>
    <t>Some fields have dropdown menus to ensure consistency.</t>
  </si>
  <si>
    <t>Leave unused fields blank.</t>
  </si>
  <si>
    <t>Bold fields are mandatory and should not be empty.</t>
  </si>
  <si>
    <t>Values where a unit is given should only be numbers (no letters).</t>
  </si>
  <si>
    <t>Visit the wiki for more instructions and the latest version of this excel sheet: https://openproject.helmholtz-berlin.de/projects/digital-research-data-management/wiki/wiki</t>
  </si>
  <si>
    <t>If you want to make changes to the excel please get in touch with Carla (via mail carla.terboven@helmholtz-berlin.de or matrix @carla.terboven-mmzmy:helmholtz.cloud ).</t>
  </si>
  <si>
    <t>You are very welcome to add information to the “Metadata Lists for Dropdowns” sheet. Please send the updated version of the excel to Carla (for NOMAD support) and upload it to the wiki so that we can build a complete metadata catalog and the updated version is always shared with the rest of the team.</t>
  </si>
  <si>
    <t>Membranes</t>
  </si>
  <si>
    <t>Substrates, Electrodes</t>
  </si>
  <si>
    <t>Commercial Chemical Options</t>
  </si>
  <si>
    <t>Peristaltic pump info</t>
  </si>
  <si>
    <t>Cell properties</t>
  </si>
  <si>
    <t>Name</t>
  </si>
  <si>
    <t>Thickness (µm)</t>
  </si>
  <si>
    <t>Company Name</t>
  </si>
  <si>
    <t>Model Number</t>
  </si>
  <si>
    <t>Combined for Dropdown</t>
  </si>
  <si>
    <t>Purity</t>
  </si>
  <si>
    <t>Porosity</t>
  </si>
  <si>
    <t>Fiber Size</t>
  </si>
  <si>
    <t>single or double sided</t>
  </si>
  <si>
    <t>Grade</t>
  </si>
  <si>
    <t>Company</t>
  </si>
  <si>
    <t>Model number</t>
  </si>
  <si>
    <t>Flow Field Size</t>
  </si>
  <si>
    <t>Channel Depth</t>
  </si>
  <si>
    <t>Channel Thickness</t>
  </si>
  <si>
    <t>Flow Field Plate Material</t>
  </si>
  <si>
    <t>Flow Field Pattern</t>
  </si>
  <si>
    <t>Nafion 115</t>
  </si>
  <si>
    <t xml:space="preserve"> </t>
  </si>
  <si>
    <t>Silicon wafer</t>
  </si>
  <si>
    <t>pump lab ZPV</t>
  </si>
  <si>
    <t>Watson Marlow</t>
  </si>
  <si>
    <t>300 series 2 channels</t>
  </si>
  <si>
    <t>Nafion 212</t>
  </si>
  <si>
    <t>Glassy carbon</t>
  </si>
  <si>
    <t>Redox Flow</t>
  </si>
  <si>
    <t>BT600L Peristaltic Pump with up to 2 channels</t>
  </si>
  <si>
    <t>Nafion 117</t>
  </si>
  <si>
    <t>Ni felt</t>
  </si>
  <si>
    <t>pump lab 159 zahner setup</t>
  </si>
  <si>
    <t>Aquivion E98-05s</t>
  </si>
  <si>
    <t>Ni fibre felt</t>
  </si>
  <si>
    <t>Xinxiang Aida Machinery Equipment Corporation</t>
  </si>
  <si>
    <t>pump lab 159 autolab setup</t>
  </si>
  <si>
    <t>Aquivion E87-05s</t>
  </si>
  <si>
    <t>Aquivion E98-09s</t>
  </si>
  <si>
    <t>BEKAERT</t>
  </si>
  <si>
    <t>2Ni06-020</t>
  </si>
  <si>
    <t>double</t>
  </si>
  <si>
    <t>Aquivion E98-15s</t>
  </si>
  <si>
    <t>2Ni30-100</t>
  </si>
  <si>
    <t>Fumatech</t>
  </si>
  <si>
    <t>Fumasep FAA-3-50</t>
  </si>
  <si>
    <t>2Ni18-050</t>
  </si>
  <si>
    <t>FAAM-pk-75</t>
  </si>
  <si>
    <t>1Ni06-020</t>
  </si>
  <si>
    <t>single</t>
  </si>
  <si>
    <t>AGFA</t>
  </si>
  <si>
    <t>Zirfon perl UTP 500</t>
  </si>
  <si>
    <t>Ni foam</t>
  </si>
  <si>
    <t>Fuel cell store</t>
  </si>
  <si>
    <t>FAS-30</t>
  </si>
  <si>
    <t>American elements</t>
  </si>
  <si>
    <t>Dioxide materials</t>
  </si>
  <si>
    <t>X37-50 Grade RT</t>
  </si>
  <si>
    <t>cambridge energy solutions</t>
  </si>
  <si>
    <t>Quintech</t>
  </si>
  <si>
    <t>FM-FAA-3-PK-75</t>
  </si>
  <si>
    <t>GS-LB-SIL-PET-250</t>
  </si>
  <si>
    <t>nanografi</t>
  </si>
  <si>
    <t>FM-FAA-3-50</t>
  </si>
  <si>
    <t>Carbon Paper</t>
  </si>
  <si>
    <t>FM-FAA-3-PK-130</t>
  </si>
  <si>
    <t>Carbon paper</t>
  </si>
  <si>
    <t>ion power</t>
  </si>
  <si>
    <t>36BC grade GDL'</t>
  </si>
  <si>
    <t>Xiom-AEM</t>
  </si>
  <si>
    <t>28BC grade GDL</t>
  </si>
  <si>
    <t>FAS-50</t>
  </si>
  <si>
    <t>Sgl carbon</t>
  </si>
  <si>
    <t>Sigracet GDL 22BB</t>
  </si>
  <si>
    <t>Sigracet GDL 28BC</t>
  </si>
  <si>
    <t>FM-FAAM-75-PK</t>
  </si>
  <si>
    <t>Freudenberg H23C2</t>
  </si>
  <si>
    <t>Piperion</t>
  </si>
  <si>
    <t>Piperion-A20-HCO3</t>
  </si>
  <si>
    <t>AC-P75</t>
  </si>
  <si>
    <t>Piperion-A80-HCO3</t>
  </si>
  <si>
    <t>GDS 310</t>
  </si>
  <si>
    <t>Freudenberg H23C6</t>
  </si>
  <si>
    <t>0.5mg/cm2 Pt/C on H23C6</t>
  </si>
  <si>
    <t>1.0mg/cm2 Pt/C on H23C6</t>
  </si>
  <si>
    <t>Sigracet 25 BC</t>
  </si>
  <si>
    <t>Sigracet 22 BB</t>
  </si>
  <si>
    <t>Sigracet 28 BC</t>
  </si>
  <si>
    <t>Carbon cloth</t>
  </si>
  <si>
    <t>Carbon Cloth</t>
  </si>
  <si>
    <t>W1S1011</t>
  </si>
  <si>
    <t>W0S1011</t>
  </si>
  <si>
    <t>Ti felt</t>
  </si>
  <si>
    <t>Graphite foil</t>
  </si>
  <si>
    <t>Metal foil</t>
  </si>
  <si>
    <t>Si-Gold</t>
  </si>
  <si>
    <t>Wafer</t>
  </si>
  <si>
    <t>FTO</t>
  </si>
  <si>
    <t>ITO</t>
  </si>
  <si>
    <t>Mehmet Turan Görüryilmaz</t>
  </si>
  <si>
    <t>Nickel Cobaltite@10%V2C composite</t>
  </si>
  <si>
    <t>NiCo2O4, V2C</t>
  </si>
  <si>
    <t>OER</t>
  </si>
  <si>
    <t>Zahner Zenium E4</t>
  </si>
  <si>
    <t>E(RHE) = E(Hg/HgO) + E0(Hg/HgO) + 0.0592*pH</t>
  </si>
  <si>
    <t>spray coating</t>
  </si>
  <si>
    <t>15 min in ethanol, followed by 15 mins in DI water, in ultrasonic bath</t>
  </si>
  <si>
    <t>Spray coating on 95 C hot plate</t>
  </si>
  <si>
    <t>Hg/HgO</t>
  </si>
  <si>
    <t>Graphite</t>
  </si>
  <si>
    <t>KOH</t>
  </si>
  <si>
    <t>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</si>
</sst>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00"/>
    <numFmt numFmtId="166" formatCode="0.00000"/>
  </numFmts>
  <fonts count="10" x14ac:knownFonts="1">
    <font>
      <sz val="11"/>
      <color rgb="FF000000"/>
      <name val="Calibri"/>
      <family val="2"/>
      <charset val="1"/>
    </font>
    <font>
      <b/>
      <sz val="11"/>
      <color rgb="FF000000"/>
      <name val="Calibri"/>
      <family val="2"/>
      <charset val="1"/>
    </font>
    <font>
      <b/>
      <i/>
      <sz val="11"/>
      <color rgb="FF000000"/>
      <name val="Calibri"/>
      <family val="2"/>
      <charset val="1"/>
    </font>
    <font>
      <sz val="11"/>
      <color rgb="FFE97132"/>
      <name val="Calibri"/>
      <family val="2"/>
      <charset val="1"/>
    </font>
    <font>
      <i/>
      <sz val="11"/>
      <color rgb="FF000000"/>
      <name val="Calibri"/>
      <family val="2"/>
      <charset val="1"/>
    </font>
    <font>
      <b/>
      <sz val="12"/>
      <color rgb="FF000000"/>
      <name val="Calibri"/>
      <family val="2"/>
      <charset val="1"/>
    </font>
    <font>
      <b/>
      <sz val="12"/>
      <color rgb="FFFFFFFF"/>
      <name val="Calibri"/>
      <family val="2"/>
      <charset val="1"/>
    </font>
    <font>
      <b/>
      <sz val="11"/>
      <color rgb="FF000000"/>
      <name val="Aptos Narrow"/>
      <charset val="1"/>
    </font>
    <font>
      <b/>
      <sz val="11"/>
      <color theme="1"/>
      <name val="Calibri"/>
      <family val="2"/>
    </font>
    <font>
      <b/>
      <sz val="11"/>
      <color rgb="FF000000"/>
      <name val="Calibri"/>
      <family val="2"/>
    </font>
  </fonts>
  <fills count="17">
    <fill>
      <patternFill patternType="none"/>
    </fill>
    <fill>
      <patternFill patternType="gray125"/>
    </fill>
    <fill>
      <patternFill patternType="solid">
        <fgColor rgb="FFE8E8E8"/>
        <bgColor rgb="FFDEE6EF"/>
      </patternFill>
    </fill>
    <fill>
      <patternFill patternType="solid">
        <fgColor rgb="FFFBE3D6"/>
        <bgColor rgb="FFE8E8E8"/>
      </patternFill>
    </fill>
    <fill>
      <patternFill patternType="solid">
        <fgColor rgb="FFD9F2D0"/>
        <bgColor rgb="FFE8E8E8"/>
      </patternFill>
    </fill>
    <fill>
      <patternFill patternType="solid">
        <fgColor rgb="FFDCEAF7"/>
        <bgColor rgb="FFDEE6EF"/>
      </patternFill>
    </fill>
    <fill>
      <patternFill patternType="solid">
        <fgColor rgb="FFF2CFEE"/>
        <bgColor rgb="FFF7D1D5"/>
      </patternFill>
    </fill>
    <fill>
      <patternFill patternType="solid">
        <fgColor rgb="FF81D41A"/>
        <bgColor rgb="FF969696"/>
      </patternFill>
    </fill>
    <fill>
      <patternFill patternType="solid">
        <fgColor rgb="FF5983B0"/>
        <bgColor rgb="FF808080"/>
      </patternFill>
    </fill>
    <fill>
      <patternFill patternType="solid">
        <fgColor rgb="FFA1467E"/>
        <bgColor rgb="FFD62E4E"/>
      </patternFill>
    </fill>
    <fill>
      <patternFill patternType="solid">
        <fgColor rgb="FFFF860D"/>
        <bgColor rgb="FFE97132"/>
      </patternFill>
    </fill>
    <fill>
      <patternFill patternType="solid">
        <fgColor rgb="FFD62E4E"/>
        <bgColor rgb="FFA1467E"/>
      </patternFill>
    </fill>
    <fill>
      <patternFill patternType="solid">
        <fgColor rgb="FFF6F9D4"/>
        <bgColor rgb="FFFFFFFF"/>
      </patternFill>
    </fill>
    <fill>
      <patternFill patternType="solid">
        <fgColor rgb="FFDEE6EF"/>
        <bgColor rgb="FFDCEAF7"/>
      </patternFill>
    </fill>
    <fill>
      <patternFill patternType="solid">
        <fgColor rgb="FFE0C2CD"/>
        <bgColor rgb="FFF7D1D5"/>
      </patternFill>
    </fill>
    <fill>
      <patternFill patternType="solid">
        <fgColor rgb="FFFFB66C"/>
        <bgColor rgb="FFE0C2CD"/>
      </patternFill>
    </fill>
    <fill>
      <patternFill patternType="solid">
        <fgColor rgb="FFF7D1D5"/>
        <bgColor rgb="FFF2CFEE"/>
      </patternFill>
    </fill>
  </fills>
  <borders count="4">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1">
    <xf numFmtId="0" fontId="0" fillId="0" borderId="0"/>
  </cellStyleXfs>
  <cellXfs count="75">
    <xf numFmtId="0" fontId="0" fillId="0" borderId="0" xfId="0"/>
    <xf numFmtId="0" fontId="0" fillId="0" borderId="0" xfId="0" applyAlignment="1">
      <alignment horizontal="right"/>
    </xf>
    <xf numFmtId="0" fontId="0" fillId="0" borderId="0" xfId="0" applyAlignment="1">
      <alignment horizontal="left"/>
    </xf>
    <xf numFmtId="0" fontId="1" fillId="0" borderId="1" xfId="0" applyFont="1" applyBorder="1" applyAlignment="1">
      <alignment horizontal="center" vertical="top"/>
    </xf>
    <xf numFmtId="0" fontId="1" fillId="0" borderId="1" xfId="0" applyFont="1" applyBorder="1" applyAlignment="1">
      <alignment horizontal="right" vertical="top"/>
    </xf>
    <xf numFmtId="0" fontId="1" fillId="0" borderId="1" xfId="0" applyFont="1" applyBorder="1" applyAlignment="1">
      <alignment horizontal="left" vertical="top"/>
    </xf>
    <xf numFmtId="0" fontId="2" fillId="2" borderId="0" xfId="0" applyFont="1" applyFill="1"/>
    <xf numFmtId="0" fontId="1" fillId="0" borderId="0" xfId="0" applyFont="1" applyAlignment="1">
      <alignment horizontal="left"/>
    </xf>
    <xf numFmtId="164" fontId="0" fillId="0" borderId="0" xfId="0" applyNumberFormat="1" applyAlignment="1">
      <alignment horizontal="right"/>
    </xf>
    <xf numFmtId="0" fontId="1" fillId="0" borderId="0" xfId="0" applyFont="1"/>
    <xf numFmtId="0" fontId="0" fillId="0" borderId="0" xfId="0" applyAlignment="1">
      <alignment horizontal="right" vertical="center"/>
    </xf>
    <xf numFmtId="0" fontId="3" fillId="0" borderId="0" xfId="0" applyFont="1"/>
    <xf numFmtId="0" fontId="4" fillId="0" borderId="0" xfId="0" applyFont="1" applyAlignment="1">
      <alignment vertical="top"/>
    </xf>
    <xf numFmtId="0" fontId="0" fillId="0" borderId="0" xfId="0" applyAlignment="1">
      <alignment horizontal="right" vertical="top"/>
    </xf>
    <xf numFmtId="0" fontId="4" fillId="0" borderId="0" xfId="0" applyFont="1"/>
    <xf numFmtId="1" fontId="0" fillId="0" borderId="0" xfId="0" applyNumberFormat="1" applyAlignment="1">
      <alignment horizontal="right"/>
    </xf>
    <xf numFmtId="0" fontId="0" fillId="0" borderId="0" xfId="0" applyAlignment="1">
      <alignment horizontal="left" vertical="top"/>
    </xf>
    <xf numFmtId="0" fontId="4" fillId="3" borderId="2" xfId="0" applyFont="1" applyFill="1" applyBorder="1"/>
    <xf numFmtId="0" fontId="0" fillId="3" borderId="2" xfId="0" applyFill="1" applyBorder="1" applyAlignment="1">
      <alignment horizontal="right"/>
    </xf>
    <xf numFmtId="0" fontId="1" fillId="3" borderId="2" xfId="0" applyFont="1" applyFill="1" applyBorder="1"/>
    <xf numFmtId="165" fontId="0" fillId="3" borderId="2" xfId="0" applyNumberFormat="1" applyFill="1" applyBorder="1" applyAlignment="1">
      <alignment horizontal="right"/>
    </xf>
    <xf numFmtId="0" fontId="1" fillId="3" borderId="0" xfId="0" applyFont="1" applyFill="1"/>
    <xf numFmtId="0" fontId="0" fillId="3" borderId="0" xfId="0" applyFill="1" applyAlignment="1">
      <alignment horizontal="right"/>
    </xf>
    <xf numFmtId="0" fontId="0" fillId="3" borderId="0" xfId="0" applyFill="1"/>
    <xf numFmtId="0" fontId="4" fillId="3" borderId="0" xfId="0" applyFont="1" applyFill="1"/>
    <xf numFmtId="0" fontId="4" fillId="3" borderId="0" xfId="0" applyFont="1" applyFill="1" applyAlignment="1">
      <alignment vertical="top"/>
    </xf>
    <xf numFmtId="0" fontId="4" fillId="4" borderId="2" xfId="0" applyFont="1" applyFill="1" applyBorder="1"/>
    <xf numFmtId="0" fontId="0" fillId="4" borderId="2" xfId="0" applyFill="1" applyBorder="1" applyAlignment="1">
      <alignment horizontal="right"/>
    </xf>
    <xf numFmtId="0" fontId="1" fillId="4" borderId="2" xfId="0" applyFont="1" applyFill="1" applyBorder="1"/>
    <xf numFmtId="166" fontId="0" fillId="4" borderId="2" xfId="0" applyNumberFormat="1" applyFill="1" applyBorder="1" applyAlignment="1">
      <alignment horizontal="right"/>
    </xf>
    <xf numFmtId="0" fontId="1" fillId="4" borderId="0" xfId="0" applyFont="1" applyFill="1"/>
    <xf numFmtId="0" fontId="0" fillId="4" borderId="0" xfId="0" applyFill="1" applyAlignment="1">
      <alignment horizontal="right"/>
    </xf>
    <xf numFmtId="0" fontId="0" fillId="4" borderId="0" xfId="0" applyFill="1"/>
    <xf numFmtId="0" fontId="4" fillId="4" borderId="0" xfId="0" applyFont="1" applyFill="1"/>
    <xf numFmtId="0" fontId="4" fillId="4" borderId="0" xfId="0" applyFont="1" applyFill="1" applyAlignment="1">
      <alignment vertical="top"/>
    </xf>
    <xf numFmtId="2" fontId="0" fillId="0" borderId="0" xfId="0" applyNumberFormat="1" applyAlignment="1">
      <alignment horizontal="right"/>
    </xf>
    <xf numFmtId="0" fontId="4" fillId="5" borderId="2" xfId="0" applyFont="1" applyFill="1" applyBorder="1"/>
    <xf numFmtId="2" fontId="0" fillId="5" borderId="2" xfId="0" applyNumberFormat="1" applyFill="1" applyBorder="1" applyAlignment="1">
      <alignment horizontal="right"/>
    </xf>
    <xf numFmtId="0" fontId="0" fillId="5" borderId="2" xfId="0" applyFill="1" applyBorder="1"/>
    <xf numFmtId="0" fontId="0" fillId="5" borderId="0" xfId="0" applyFill="1"/>
    <xf numFmtId="0" fontId="0" fillId="5" borderId="0" xfId="0" applyFill="1" applyAlignment="1">
      <alignment horizontal="right"/>
    </xf>
    <xf numFmtId="0" fontId="1" fillId="5" borderId="2" xfId="0" applyFont="1" applyFill="1" applyBorder="1"/>
    <xf numFmtId="2" fontId="0" fillId="5" borderId="0" xfId="0" applyNumberFormat="1" applyFill="1" applyAlignment="1">
      <alignment horizontal="right"/>
    </xf>
    <xf numFmtId="0" fontId="1" fillId="5" borderId="0" xfId="0" applyFont="1" applyFill="1"/>
    <xf numFmtId="0" fontId="4" fillId="5" borderId="0" xfId="0" applyFont="1" applyFill="1"/>
    <xf numFmtId="0" fontId="1" fillId="5" borderId="3" xfId="0" applyFont="1" applyFill="1" applyBorder="1"/>
    <xf numFmtId="2" fontId="0" fillId="5" borderId="3" xfId="0" applyNumberFormat="1" applyFill="1" applyBorder="1" applyAlignment="1">
      <alignment horizontal="right"/>
    </xf>
    <xf numFmtId="0" fontId="4" fillId="5" borderId="0" xfId="0" applyFont="1" applyFill="1" applyAlignment="1">
      <alignment vertical="top"/>
    </xf>
    <xf numFmtId="0" fontId="4" fillId="6" borderId="2" xfId="0" applyFont="1" applyFill="1" applyBorder="1"/>
    <xf numFmtId="2" fontId="0" fillId="6" borderId="2" xfId="0" applyNumberFormat="1" applyFill="1" applyBorder="1" applyAlignment="1">
      <alignment horizontal="right"/>
    </xf>
    <xf numFmtId="0" fontId="0" fillId="6" borderId="0" xfId="0" applyFill="1"/>
    <xf numFmtId="0" fontId="0" fillId="6" borderId="0" xfId="0" applyFill="1" applyAlignment="1">
      <alignment horizontal="right"/>
    </xf>
    <xf numFmtId="0" fontId="1" fillId="6" borderId="2" xfId="0" applyFont="1" applyFill="1" applyBorder="1"/>
    <xf numFmtId="2" fontId="0" fillId="6" borderId="0" xfId="0" applyNumberFormat="1" applyFill="1" applyAlignment="1">
      <alignment horizontal="right"/>
    </xf>
    <xf numFmtId="0" fontId="4" fillId="6" borderId="0" xfId="0" applyFont="1" applyFill="1" applyAlignment="1">
      <alignment vertical="top"/>
    </xf>
    <xf numFmtId="0" fontId="0" fillId="0" borderId="0" xfId="0" applyAlignment="1">
      <alignment wrapText="1"/>
    </xf>
    <xf numFmtId="0" fontId="5" fillId="7" borderId="0" xfId="0" applyFont="1" applyFill="1" applyAlignment="1">
      <alignment wrapText="1"/>
    </xf>
    <xf numFmtId="0" fontId="5" fillId="0" borderId="0" xfId="0" applyFont="1" applyAlignment="1">
      <alignment wrapText="1"/>
    </xf>
    <xf numFmtId="0" fontId="6" fillId="8" borderId="0" xfId="0" applyFont="1" applyFill="1" applyAlignment="1">
      <alignment wrapText="1"/>
    </xf>
    <xf numFmtId="0" fontId="5" fillId="9" borderId="0" xfId="0" applyFont="1" applyFill="1" applyAlignment="1">
      <alignment wrapText="1"/>
    </xf>
    <xf numFmtId="0" fontId="5" fillId="10" borderId="0" xfId="0" applyFont="1" applyFill="1" applyAlignment="1">
      <alignment wrapText="1"/>
    </xf>
    <xf numFmtId="0" fontId="5" fillId="10" borderId="0" xfId="0" applyFont="1" applyFill="1"/>
    <xf numFmtId="0" fontId="5" fillId="11" borderId="0" xfId="0" applyFont="1" applyFill="1" applyAlignment="1">
      <alignment wrapText="1"/>
    </xf>
    <xf numFmtId="0" fontId="0" fillId="12" borderId="0" xfId="0" applyFill="1" applyAlignment="1">
      <alignment wrapText="1"/>
    </xf>
    <xf numFmtId="0" fontId="0" fillId="12" borderId="0" xfId="0" applyFill="1"/>
    <xf numFmtId="0" fontId="0" fillId="13" borderId="0" xfId="0" applyFill="1" applyAlignment="1">
      <alignment wrapText="1"/>
    </xf>
    <xf numFmtId="0" fontId="0" fillId="13" borderId="0" xfId="0" applyFill="1"/>
    <xf numFmtId="0" fontId="0" fillId="14" borderId="0" xfId="0" applyFill="1" applyAlignment="1">
      <alignment wrapText="1"/>
    </xf>
    <xf numFmtId="0" fontId="0" fillId="15" borderId="0" xfId="0" applyFill="1" applyAlignment="1">
      <alignment wrapText="1"/>
    </xf>
    <xf numFmtId="0" fontId="0" fillId="15" borderId="0" xfId="0" applyFill="1"/>
    <xf numFmtId="0" fontId="0" fillId="16" borderId="0" xfId="0" applyFill="1" applyAlignment="1">
      <alignment wrapText="1"/>
    </xf>
    <xf numFmtId="0" fontId="7" fillId="12" borderId="0" xfId="0" applyFont="1" applyFill="1" applyAlignment="1">
      <alignment wrapText="1"/>
    </xf>
    <xf numFmtId="0" fontId="7" fillId="0" borderId="0" xfId="0" applyFont="1" applyAlignment="1">
      <alignment wrapText="1"/>
    </xf>
    <xf numFmtId="0" fontId="8" fillId="0" borderId="0" xfId="0" applyFont="1" applyAlignment="1">
      <alignment horizontal="right"/>
    </xf>
    <xf numFmtId="0" fontId="9" fillId="0" borderId="0" xfId="0" applyFont="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A1467E"/>
      <rgbColor rgb="FFF6F9D4"/>
      <rgbColor rgb="FFDC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EE6EF"/>
      <rgbColor rgb="FFD9F2D0"/>
      <rgbColor rgb="FFFBE3D6"/>
      <rgbColor rgb="FFE8E8E8"/>
      <rgbColor rgb="FFFFB66C"/>
      <rgbColor rgb="FFF2CFEE"/>
      <rgbColor rgb="FFF7D1D5"/>
      <rgbColor rgb="FF3366FF"/>
      <rgbColor rgb="FF33CCCC"/>
      <rgbColor rgb="FF81D41A"/>
      <rgbColor rgb="FFFFCC00"/>
      <rgbColor rgb="FFFF860D"/>
      <rgbColor rgb="FFE97132"/>
      <rgbColor rgb="FF5983B0"/>
      <rgbColor rgb="FF969696"/>
      <rgbColor rgb="FF003366"/>
      <rgbColor rgb="FF339966"/>
      <rgbColor rgb="FF003300"/>
      <rgbColor rgb="FF333300"/>
      <rgbColor rgb="FF993300"/>
      <rgbColor rgb="FFD62E4E"/>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openproject.helmholtz-berlin.de/projects/digital-research-data-management/wiki/wik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47"/>
  <sheetViews>
    <sheetView tabSelected="1" topLeftCell="A84" zoomScaleNormal="100" workbookViewId="0">
      <selection activeCell="C104" sqref="C104"/>
    </sheetView>
  </sheetViews>
  <sheetFormatPr defaultColWidth="8.85546875" defaultRowHeight="15" x14ac:dyDescent="0.25"/>
  <cols>
    <col min="1" max="1" width="11" customWidth="1"/>
    <col min="2" max="2" width="61.140625" customWidth="1"/>
    <col min="3" max="3" width="78.42578125" style="1" customWidth="1"/>
    <col min="4" max="4" width="9.42578125" style="2" customWidth="1"/>
    <col min="5" max="5" width="31.42578125" customWidth="1"/>
    <col min="6" max="6" width="57.28515625" customWidth="1"/>
    <col min="9" max="9" width="25.42578125" customWidth="1"/>
  </cols>
  <sheetData>
    <row r="1" spans="2:5" x14ac:dyDescent="0.25">
      <c r="B1" s="3" t="s">
        <v>0</v>
      </c>
      <c r="C1" s="4" t="s">
        <v>1</v>
      </c>
      <c r="D1" s="5" t="s">
        <v>2</v>
      </c>
      <c r="E1" t="s">
        <v>3</v>
      </c>
    </row>
    <row r="2" spans="2:5" x14ac:dyDescent="0.25">
      <c r="B2" s="6" t="s">
        <v>4</v>
      </c>
      <c r="D2" s="7"/>
    </row>
    <row r="3" spans="2:5" x14ac:dyDescent="0.25">
      <c r="B3" t="s">
        <v>5</v>
      </c>
      <c r="C3" s="8">
        <v>45901</v>
      </c>
      <c r="D3"/>
      <c r="E3" t="s">
        <v>6</v>
      </c>
    </row>
    <row r="4" spans="2:5" x14ac:dyDescent="0.25">
      <c r="B4" s="9" t="s">
        <v>7</v>
      </c>
      <c r="C4" s="73" t="s">
        <v>236</v>
      </c>
      <c r="D4"/>
    </row>
    <row r="5" spans="2:5" x14ac:dyDescent="0.25">
      <c r="B5" s="9" t="s">
        <v>8</v>
      </c>
      <c r="C5" s="74" t="s">
        <v>237</v>
      </c>
      <c r="D5"/>
    </row>
    <row r="6" spans="2:5" x14ac:dyDescent="0.25">
      <c r="B6" t="s">
        <v>9</v>
      </c>
      <c r="C6" s="10"/>
      <c r="D6"/>
      <c r="E6" t="s">
        <v>10</v>
      </c>
    </row>
    <row r="7" spans="2:5" x14ac:dyDescent="0.25">
      <c r="B7" t="s">
        <v>11</v>
      </c>
      <c r="C7" s="1" t="s">
        <v>12</v>
      </c>
      <c r="D7"/>
    </row>
    <row r="8" spans="2:5" x14ac:dyDescent="0.25">
      <c r="B8" t="s">
        <v>13</v>
      </c>
      <c r="C8" s="1" t="s">
        <v>14</v>
      </c>
      <c r="D8" t="s">
        <v>15</v>
      </c>
      <c r="E8" t="s">
        <v>16</v>
      </c>
    </row>
    <row r="9" spans="2:5" x14ac:dyDescent="0.25">
      <c r="B9" s="9" t="s">
        <v>17</v>
      </c>
      <c r="C9" s="73" t="s">
        <v>238</v>
      </c>
      <c r="D9"/>
      <c r="E9" t="s">
        <v>18</v>
      </c>
    </row>
    <row r="10" spans="2:5" x14ac:dyDescent="0.25">
      <c r="B10" t="s">
        <v>19</v>
      </c>
      <c r="C10" s="1">
        <v>3</v>
      </c>
      <c r="D10" t="s">
        <v>20</v>
      </c>
    </row>
    <row r="11" spans="2:5" x14ac:dyDescent="0.25">
      <c r="B11" t="s">
        <v>21</v>
      </c>
      <c r="C11" s="1">
        <v>10</v>
      </c>
      <c r="D11" s="9" t="s">
        <v>22</v>
      </c>
    </row>
    <row r="12" spans="2:5" x14ac:dyDescent="0.25">
      <c r="B12" t="s">
        <v>23</v>
      </c>
      <c r="D12"/>
      <c r="E12" t="s">
        <v>24</v>
      </c>
    </row>
    <row r="13" spans="2:5" x14ac:dyDescent="0.25">
      <c r="B13" t="s">
        <v>25</v>
      </c>
      <c r="C13" s="1" t="s">
        <v>26</v>
      </c>
      <c r="D13"/>
      <c r="E13" s="11" t="s">
        <v>27</v>
      </c>
    </row>
    <row r="14" spans="2:5" ht="36" customHeight="1" x14ac:dyDescent="0.25">
      <c r="B14" s="12" t="s">
        <v>28</v>
      </c>
      <c r="C14" s="13"/>
      <c r="D14"/>
    </row>
    <row r="15" spans="2:5" x14ac:dyDescent="0.25">
      <c r="B15" s="14"/>
      <c r="D15"/>
    </row>
    <row r="16" spans="2:5" x14ac:dyDescent="0.25">
      <c r="B16" s="6" t="s">
        <v>29</v>
      </c>
      <c r="C16" s="2"/>
      <c r="D16" s="7"/>
    </row>
    <row r="17" spans="2:6" x14ac:dyDescent="0.25">
      <c r="B17" s="9" t="s">
        <v>30</v>
      </c>
      <c r="C17" s="1" t="s">
        <v>239</v>
      </c>
      <c r="D17" s="7"/>
      <c r="E17" s="11" t="s">
        <v>27</v>
      </c>
    </row>
    <row r="18" spans="2:6" x14ac:dyDescent="0.25">
      <c r="B18" t="s">
        <v>31</v>
      </c>
      <c r="C18" s="1" t="s">
        <v>240</v>
      </c>
      <c r="E18" s="11" t="s">
        <v>27</v>
      </c>
    </row>
    <row r="19" spans="2:6" x14ac:dyDescent="0.25">
      <c r="B19" t="s">
        <v>32</v>
      </c>
      <c r="C19" s="1" t="s">
        <v>241</v>
      </c>
    </row>
    <row r="20" spans="2:6" x14ac:dyDescent="0.25">
      <c r="B20" s="9" t="s">
        <v>33</v>
      </c>
      <c r="C20" s="15">
        <v>100</v>
      </c>
      <c r="D20" s="7" t="s">
        <v>22</v>
      </c>
      <c r="E20" s="11" t="s">
        <v>27</v>
      </c>
    </row>
    <row r="21" spans="2:6" x14ac:dyDescent="0.25">
      <c r="B21" t="s">
        <v>34</v>
      </c>
      <c r="C21" s="1" t="s">
        <v>236</v>
      </c>
    </row>
    <row r="22" spans="2:6" x14ac:dyDescent="0.25">
      <c r="B22" t="s">
        <v>35</v>
      </c>
      <c r="C22" s="8"/>
      <c r="E22" t="s">
        <v>6</v>
      </c>
    </row>
    <row r="23" spans="2:6" ht="36" customHeight="1" x14ac:dyDescent="0.25">
      <c r="B23" s="12" t="s">
        <v>36</v>
      </c>
      <c r="C23" s="16"/>
    </row>
    <row r="24" spans="2:6" x14ac:dyDescent="0.25">
      <c r="B24" s="14"/>
      <c r="C24" s="2"/>
    </row>
    <row r="25" spans="2:6" x14ac:dyDescent="0.25">
      <c r="B25" s="17" t="s">
        <v>37</v>
      </c>
      <c r="C25" s="18"/>
      <c r="D25"/>
    </row>
    <row r="26" spans="2:6" x14ac:dyDescent="0.25">
      <c r="B26" s="19" t="s">
        <v>38</v>
      </c>
      <c r="C26" s="20">
        <v>1</v>
      </c>
      <c r="D26" s="9" t="s">
        <v>39</v>
      </c>
    </row>
    <row r="27" spans="2:6" x14ac:dyDescent="0.25">
      <c r="B27" s="19" t="s">
        <v>40</v>
      </c>
      <c r="C27" s="18">
        <v>1</v>
      </c>
      <c r="D27" s="9" t="s">
        <v>20</v>
      </c>
      <c r="E27" t="s">
        <v>41</v>
      </c>
    </row>
    <row r="28" spans="2:6" x14ac:dyDescent="0.25">
      <c r="B28" s="21" t="s">
        <v>42</v>
      </c>
      <c r="C28" s="22"/>
      <c r="D28" s="9" t="s">
        <v>43</v>
      </c>
      <c r="E28" t="s">
        <v>44</v>
      </c>
    </row>
    <row r="29" spans="2:6" x14ac:dyDescent="0.25">
      <c r="B29" s="21" t="s">
        <v>45</v>
      </c>
      <c r="C29" s="22"/>
      <c r="D29" s="9" t="s">
        <v>43</v>
      </c>
      <c r="E29" t="s">
        <v>44</v>
      </c>
      <c r="F29" t="s">
        <v>46</v>
      </c>
    </row>
    <row r="30" spans="2:6" x14ac:dyDescent="0.25">
      <c r="B30" s="21" t="s">
        <v>47</v>
      </c>
      <c r="C30" s="22" t="s">
        <v>242</v>
      </c>
      <c r="D30" s="9"/>
      <c r="E30" s="11" t="s">
        <v>27</v>
      </c>
    </row>
    <row r="31" spans="2:6" x14ac:dyDescent="0.25">
      <c r="B31" s="23" t="s">
        <v>48</v>
      </c>
      <c r="C31" s="22">
        <v>1000</v>
      </c>
      <c r="D31" t="s">
        <v>49</v>
      </c>
    </row>
    <row r="32" spans="2:6" x14ac:dyDescent="0.25">
      <c r="B32" s="23" t="s">
        <v>50</v>
      </c>
      <c r="C32" s="22" t="s">
        <v>168</v>
      </c>
      <c r="D32" s="9"/>
      <c r="E32" s="11" t="s">
        <v>27</v>
      </c>
    </row>
    <row r="33" spans="2:5" x14ac:dyDescent="0.25">
      <c r="B33" s="23" t="s">
        <v>51</v>
      </c>
      <c r="C33" s="22" t="s">
        <v>243</v>
      </c>
      <c r="D33" s="9"/>
    </row>
    <row r="34" spans="2:5" x14ac:dyDescent="0.25">
      <c r="B34" s="23" t="s">
        <v>52</v>
      </c>
      <c r="C34" s="23">
        <v>95</v>
      </c>
      <c r="D34" t="s">
        <v>53</v>
      </c>
    </row>
    <row r="35" spans="2:5" x14ac:dyDescent="0.25">
      <c r="B35" s="24" t="s">
        <v>54</v>
      </c>
      <c r="C35" s="23" t="s">
        <v>244</v>
      </c>
      <c r="D35"/>
    </row>
    <row r="36" spans="2:5" x14ac:dyDescent="0.25">
      <c r="B36" s="21" t="s">
        <v>55</v>
      </c>
      <c r="C36" s="23">
        <v>1</v>
      </c>
      <c r="D36" s="7" t="s">
        <v>56</v>
      </c>
      <c r="E36" s="11"/>
    </row>
    <row r="37" spans="2:5" x14ac:dyDescent="0.25">
      <c r="B37" s="21" t="s">
        <v>57</v>
      </c>
      <c r="C37" s="22" t="s">
        <v>245</v>
      </c>
      <c r="D37" s="7"/>
      <c r="E37" s="11" t="s">
        <v>27</v>
      </c>
    </row>
    <row r="38" spans="2:5" x14ac:dyDescent="0.25">
      <c r="B38" s="21" t="s">
        <v>58</v>
      </c>
      <c r="C38" s="22">
        <v>9.8299999999999998E-2</v>
      </c>
      <c r="D38" s="7" t="s">
        <v>59</v>
      </c>
      <c r="E38" t="s">
        <v>60</v>
      </c>
    </row>
    <row r="39" spans="2:5" x14ac:dyDescent="0.25">
      <c r="B39" s="23" t="s">
        <v>61</v>
      </c>
      <c r="C39" s="22">
        <v>23</v>
      </c>
      <c r="D39" s="2" t="s">
        <v>53</v>
      </c>
    </row>
    <row r="40" spans="2:5" x14ac:dyDescent="0.25">
      <c r="B40" s="23" t="s">
        <v>62</v>
      </c>
      <c r="C40" s="22" t="s">
        <v>246</v>
      </c>
      <c r="E40" s="11" t="s">
        <v>27</v>
      </c>
    </row>
    <row r="41" spans="2:5" x14ac:dyDescent="0.25">
      <c r="B41" s="23" t="s">
        <v>63</v>
      </c>
      <c r="C41" s="22"/>
      <c r="E41" s="11"/>
    </row>
    <row r="42" spans="2:5" x14ac:dyDescent="0.25">
      <c r="B42" s="23" t="s">
        <v>64</v>
      </c>
      <c r="C42" s="22" t="s">
        <v>247</v>
      </c>
      <c r="E42" s="11" t="s">
        <v>27</v>
      </c>
    </row>
    <row r="43" spans="2:5" x14ac:dyDescent="0.25">
      <c r="B43" s="23" t="s">
        <v>65</v>
      </c>
      <c r="C43" s="22">
        <v>1</v>
      </c>
      <c r="D43" s="2" t="s">
        <v>66</v>
      </c>
      <c r="E43" s="11"/>
    </row>
    <row r="44" spans="2:5" x14ac:dyDescent="0.25">
      <c r="B44" s="23" t="s">
        <v>67</v>
      </c>
      <c r="C44" s="22">
        <v>14</v>
      </c>
      <c r="E44" s="11"/>
    </row>
    <row r="45" spans="2:5" x14ac:dyDescent="0.25">
      <c r="B45" s="23" t="s">
        <v>68</v>
      </c>
      <c r="C45" s="22" t="s">
        <v>248</v>
      </c>
      <c r="E45" s="11"/>
    </row>
    <row r="46" spans="2:5" x14ac:dyDescent="0.25">
      <c r="B46" s="23" t="s">
        <v>69</v>
      </c>
      <c r="C46" s="22">
        <v>23</v>
      </c>
      <c r="D46" s="2" t="s">
        <v>53</v>
      </c>
      <c r="E46" s="11"/>
    </row>
    <row r="47" spans="2:5" x14ac:dyDescent="0.25">
      <c r="B47" s="23" t="s">
        <v>70</v>
      </c>
      <c r="C47" s="22">
        <v>30</v>
      </c>
      <c r="D47" s="2" t="s">
        <v>71</v>
      </c>
      <c r="E47" s="11"/>
    </row>
    <row r="48" spans="2:5" ht="36" customHeight="1" x14ac:dyDescent="0.25">
      <c r="B48" s="25" t="s">
        <v>72</v>
      </c>
      <c r="C48" s="22"/>
      <c r="D48" s="9"/>
    </row>
    <row r="49" spans="2:5" x14ac:dyDescent="0.25">
      <c r="B49" s="14"/>
      <c r="D49" s="9"/>
    </row>
    <row r="50" spans="2:5" x14ac:dyDescent="0.25">
      <c r="B50" s="26" t="s">
        <v>73</v>
      </c>
      <c r="C50" s="27"/>
      <c r="D50"/>
    </row>
    <row r="51" spans="2:5" x14ac:dyDescent="0.25">
      <c r="B51" s="28" t="s">
        <v>38</v>
      </c>
      <c r="C51" s="29"/>
      <c r="D51" s="9" t="s">
        <v>39</v>
      </c>
      <c r="E51" t="s">
        <v>74</v>
      </c>
    </row>
    <row r="52" spans="2:5" x14ac:dyDescent="0.25">
      <c r="B52" s="30" t="s">
        <v>47</v>
      </c>
      <c r="C52" s="31"/>
      <c r="D52" s="9"/>
      <c r="E52" s="11" t="s">
        <v>27</v>
      </c>
    </row>
    <row r="53" spans="2:5" x14ac:dyDescent="0.25">
      <c r="B53" s="32" t="s">
        <v>48</v>
      </c>
      <c r="C53" s="31"/>
      <c r="D53" t="s">
        <v>49</v>
      </c>
    </row>
    <row r="54" spans="2:5" x14ac:dyDescent="0.25">
      <c r="B54" s="32" t="s">
        <v>50</v>
      </c>
      <c r="C54" s="31"/>
      <c r="D54" s="9"/>
      <c r="E54" s="11" t="s">
        <v>27</v>
      </c>
    </row>
    <row r="55" spans="2:5" x14ac:dyDescent="0.25">
      <c r="B55" s="32" t="s">
        <v>51</v>
      </c>
      <c r="C55" s="31"/>
      <c r="D55" s="9"/>
    </row>
    <row r="56" spans="2:5" x14ac:dyDescent="0.25">
      <c r="B56" s="32" t="s">
        <v>52</v>
      </c>
      <c r="C56" s="32"/>
      <c r="D56" t="s">
        <v>53</v>
      </c>
    </row>
    <row r="57" spans="2:5" x14ac:dyDescent="0.25">
      <c r="B57" s="33" t="s">
        <v>54</v>
      </c>
      <c r="C57" s="32"/>
      <c r="D57"/>
    </row>
    <row r="58" spans="2:5" x14ac:dyDescent="0.25">
      <c r="B58" s="30" t="s">
        <v>55</v>
      </c>
      <c r="C58" s="32"/>
      <c r="D58" s="7" t="s">
        <v>56</v>
      </c>
      <c r="E58" s="11"/>
    </row>
    <row r="59" spans="2:5" x14ac:dyDescent="0.25">
      <c r="B59" s="30" t="s">
        <v>57</v>
      </c>
      <c r="C59" s="31"/>
      <c r="D59" s="7"/>
      <c r="E59" s="11" t="s">
        <v>27</v>
      </c>
    </row>
    <row r="60" spans="2:5" x14ac:dyDescent="0.25">
      <c r="B60" s="30" t="s">
        <v>58</v>
      </c>
      <c r="C60" s="31"/>
      <c r="D60" s="7" t="s">
        <v>59</v>
      </c>
    </row>
    <row r="61" spans="2:5" x14ac:dyDescent="0.25">
      <c r="B61" s="32" t="s">
        <v>61</v>
      </c>
      <c r="C61" s="31"/>
      <c r="D61" s="2" t="s">
        <v>53</v>
      </c>
    </row>
    <row r="62" spans="2:5" x14ac:dyDescent="0.25">
      <c r="B62" s="32" t="s">
        <v>62</v>
      </c>
      <c r="C62" s="31"/>
      <c r="E62" s="11" t="s">
        <v>27</v>
      </c>
    </row>
    <row r="63" spans="2:5" x14ac:dyDescent="0.25">
      <c r="B63" s="32" t="s">
        <v>63</v>
      </c>
      <c r="C63" s="31"/>
      <c r="E63" s="11"/>
    </row>
    <row r="64" spans="2:5" x14ac:dyDescent="0.25">
      <c r="B64" s="32" t="s">
        <v>64</v>
      </c>
      <c r="C64" s="31"/>
      <c r="E64" s="11" t="s">
        <v>27</v>
      </c>
    </row>
    <row r="65" spans="2:6" x14ac:dyDescent="0.25">
      <c r="B65" s="32" t="s">
        <v>65</v>
      </c>
      <c r="C65" s="31"/>
      <c r="D65" s="2" t="s">
        <v>66</v>
      </c>
      <c r="E65" s="11"/>
    </row>
    <row r="66" spans="2:6" x14ac:dyDescent="0.25">
      <c r="B66" s="32" t="s">
        <v>67</v>
      </c>
      <c r="C66" s="31"/>
      <c r="E66" s="11"/>
    </row>
    <row r="67" spans="2:6" x14ac:dyDescent="0.25">
      <c r="B67" s="32" t="s">
        <v>68</v>
      </c>
      <c r="C67" s="31"/>
      <c r="E67" s="11"/>
    </row>
    <row r="68" spans="2:6" x14ac:dyDescent="0.25">
      <c r="B68" s="32" t="s">
        <v>69</v>
      </c>
      <c r="C68" s="31"/>
      <c r="D68" s="2" t="s">
        <v>53</v>
      </c>
      <c r="E68" s="11"/>
    </row>
    <row r="69" spans="2:6" x14ac:dyDescent="0.25">
      <c r="B69" s="32" t="s">
        <v>70</v>
      </c>
      <c r="C69" s="31"/>
      <c r="D69" s="2" t="s">
        <v>71</v>
      </c>
      <c r="E69" s="11"/>
    </row>
    <row r="70" spans="2:6" ht="36" customHeight="1" x14ac:dyDescent="0.25">
      <c r="B70" s="34" t="s">
        <v>72</v>
      </c>
      <c r="C70" s="31"/>
      <c r="D70" s="9"/>
    </row>
    <row r="71" spans="2:6" x14ac:dyDescent="0.25">
      <c r="B71" s="9"/>
      <c r="C71" s="35"/>
      <c r="D71" s="9"/>
    </row>
    <row r="72" spans="2:6" x14ac:dyDescent="0.25">
      <c r="B72" s="36" t="s">
        <v>75</v>
      </c>
      <c r="C72" s="37"/>
      <c r="D72" s="9"/>
    </row>
    <row r="73" spans="2:6" x14ac:dyDescent="0.25">
      <c r="B73" s="38" t="s">
        <v>76</v>
      </c>
      <c r="C73" s="37"/>
      <c r="D73" s="9"/>
    </row>
    <row r="74" spans="2:6" x14ac:dyDescent="0.25">
      <c r="B74" s="39" t="s">
        <v>77</v>
      </c>
      <c r="C74" s="40"/>
      <c r="D74"/>
      <c r="E74" s="11" t="s">
        <v>27</v>
      </c>
      <c r="F74" t="s">
        <v>78</v>
      </c>
    </row>
    <row r="75" spans="2:6" x14ac:dyDescent="0.25">
      <c r="B75" s="41" t="s">
        <v>79</v>
      </c>
      <c r="C75" s="37"/>
      <c r="D75" s="9"/>
    </row>
    <row r="76" spans="2:6" x14ac:dyDescent="0.25">
      <c r="B76" s="41" t="s">
        <v>80</v>
      </c>
      <c r="C76" s="37"/>
      <c r="D76" s="9" t="s">
        <v>39</v>
      </c>
    </row>
    <row r="77" spans="2:6" x14ac:dyDescent="0.25">
      <c r="B77" s="39" t="s">
        <v>81</v>
      </c>
      <c r="C77" s="42"/>
      <c r="D77"/>
      <c r="E77" s="11" t="s">
        <v>27</v>
      </c>
    </row>
    <row r="78" spans="2:6" x14ac:dyDescent="0.25">
      <c r="B78" s="39" t="s">
        <v>82</v>
      </c>
      <c r="C78" s="42"/>
      <c r="D78" t="s">
        <v>83</v>
      </c>
    </row>
    <row r="79" spans="2:6" x14ac:dyDescent="0.25">
      <c r="B79" s="39" t="s">
        <v>84</v>
      </c>
      <c r="C79" s="40"/>
      <c r="D79" s="9"/>
      <c r="E79" s="11" t="s">
        <v>27</v>
      </c>
    </row>
    <row r="80" spans="2:6" x14ac:dyDescent="0.25">
      <c r="B80" s="39" t="s">
        <v>85</v>
      </c>
      <c r="C80" s="40"/>
      <c r="D80" s="9"/>
      <c r="E80" s="11" t="s">
        <v>27</v>
      </c>
      <c r="F80" t="s">
        <v>78</v>
      </c>
    </row>
    <row r="81" spans="2:6" x14ac:dyDescent="0.25">
      <c r="B81" s="43" t="s">
        <v>86</v>
      </c>
      <c r="C81" s="40"/>
      <c r="D81"/>
      <c r="E81" s="11" t="s">
        <v>27</v>
      </c>
    </row>
    <row r="82" spans="2:6" x14ac:dyDescent="0.25">
      <c r="B82" s="39" t="s">
        <v>87</v>
      </c>
      <c r="C82" s="40"/>
      <c r="D82" t="s">
        <v>43</v>
      </c>
    </row>
    <row r="83" spans="2:6" x14ac:dyDescent="0.25">
      <c r="B83" s="39" t="s">
        <v>88</v>
      </c>
      <c r="C83" s="40"/>
      <c r="D83"/>
    </row>
    <row r="84" spans="2:6" x14ac:dyDescent="0.25">
      <c r="B84" s="39" t="s">
        <v>89</v>
      </c>
      <c r="C84" s="40"/>
      <c r="D84"/>
    </row>
    <row r="85" spans="2:6" x14ac:dyDescent="0.25">
      <c r="B85" s="39" t="s">
        <v>90</v>
      </c>
      <c r="C85" s="40"/>
      <c r="D85"/>
      <c r="E85" t="s">
        <v>91</v>
      </c>
    </row>
    <row r="86" spans="2:6" x14ac:dyDescent="0.25">
      <c r="B86" s="39" t="s">
        <v>92</v>
      </c>
      <c r="C86" s="40"/>
      <c r="D86"/>
    </row>
    <row r="87" spans="2:6" x14ac:dyDescent="0.25">
      <c r="B87" s="39" t="s">
        <v>93</v>
      </c>
      <c r="C87" s="40"/>
      <c r="E87" s="11" t="s">
        <v>27</v>
      </c>
    </row>
    <row r="88" spans="2:6" x14ac:dyDescent="0.25">
      <c r="B88" s="39" t="s">
        <v>94</v>
      </c>
      <c r="C88" s="40"/>
      <c r="D88" s="2" t="s">
        <v>66</v>
      </c>
    </row>
    <row r="89" spans="2:6" x14ac:dyDescent="0.25">
      <c r="B89" s="39" t="s">
        <v>95</v>
      </c>
      <c r="C89" s="40"/>
    </row>
    <row r="90" spans="2:6" x14ac:dyDescent="0.25">
      <c r="B90" s="44" t="s">
        <v>96</v>
      </c>
      <c r="C90" s="40"/>
      <c r="D90"/>
    </row>
    <row r="91" spans="2:6" x14ac:dyDescent="0.25">
      <c r="B91" s="39" t="s">
        <v>97</v>
      </c>
      <c r="C91" s="40"/>
      <c r="D91"/>
      <c r="E91" s="11" t="s">
        <v>27</v>
      </c>
      <c r="F91" t="s">
        <v>78</v>
      </c>
    </row>
    <row r="92" spans="2:6" x14ac:dyDescent="0.25">
      <c r="B92" s="45" t="s">
        <v>99</v>
      </c>
      <c r="C92" s="46"/>
      <c r="D92" s="9"/>
    </row>
    <row r="93" spans="2:6" x14ac:dyDescent="0.25">
      <c r="B93" s="43" t="s">
        <v>100</v>
      </c>
      <c r="C93" s="42"/>
      <c r="D93" s="9" t="s">
        <v>39</v>
      </c>
    </row>
    <row r="94" spans="2:6" x14ac:dyDescent="0.25">
      <c r="B94" s="39" t="s">
        <v>101</v>
      </c>
      <c r="C94" s="42"/>
      <c r="D94"/>
      <c r="E94" s="11" t="s">
        <v>27</v>
      </c>
    </row>
    <row r="95" spans="2:6" x14ac:dyDescent="0.25">
      <c r="B95" s="39" t="s">
        <v>102</v>
      </c>
      <c r="C95" s="42"/>
      <c r="D95" t="s">
        <v>83</v>
      </c>
    </row>
    <row r="96" spans="2:6" x14ac:dyDescent="0.25">
      <c r="B96" s="39" t="s">
        <v>103</v>
      </c>
      <c r="C96" s="40"/>
      <c r="D96" s="9"/>
      <c r="E96" s="11" t="s">
        <v>27</v>
      </c>
    </row>
    <row r="97" spans="2:6" x14ac:dyDescent="0.25">
      <c r="B97" s="39" t="s">
        <v>104</v>
      </c>
      <c r="C97" s="40"/>
      <c r="D97" s="9"/>
      <c r="E97" s="11" t="s">
        <v>27</v>
      </c>
      <c r="F97" t="s">
        <v>78</v>
      </c>
    </row>
    <row r="98" spans="2:6" x14ac:dyDescent="0.25">
      <c r="B98" s="43" t="s">
        <v>105</v>
      </c>
      <c r="C98" s="40"/>
      <c r="D98"/>
      <c r="E98" s="11" t="s">
        <v>27</v>
      </c>
    </row>
    <row r="99" spans="2:6" x14ac:dyDescent="0.25">
      <c r="B99" s="39" t="s">
        <v>106</v>
      </c>
      <c r="C99" s="40"/>
      <c r="D99" t="s">
        <v>43</v>
      </c>
    </row>
    <row r="100" spans="2:6" x14ac:dyDescent="0.25">
      <c r="B100" s="39" t="s">
        <v>107</v>
      </c>
      <c r="C100" s="40"/>
      <c r="D100"/>
    </row>
    <row r="101" spans="2:6" x14ac:dyDescent="0.25">
      <c r="B101" s="39" t="s">
        <v>108</v>
      </c>
      <c r="C101" s="40"/>
      <c r="D101"/>
    </row>
    <row r="102" spans="2:6" x14ac:dyDescent="0.25">
      <c r="B102" s="39" t="s">
        <v>109</v>
      </c>
      <c r="C102" s="40"/>
      <c r="D102"/>
      <c r="E102" t="s">
        <v>91</v>
      </c>
    </row>
    <row r="103" spans="2:6" x14ac:dyDescent="0.25">
      <c r="B103" s="39" t="s">
        <v>110</v>
      </c>
      <c r="C103" s="40"/>
      <c r="D103"/>
    </row>
    <row r="104" spans="2:6" x14ac:dyDescent="0.25">
      <c r="B104" s="39" t="s">
        <v>111</v>
      </c>
      <c r="C104" s="40"/>
      <c r="E104" s="11" t="s">
        <v>27</v>
      </c>
    </row>
    <row r="105" spans="2:6" x14ac:dyDescent="0.25">
      <c r="B105" s="39" t="s">
        <v>112</v>
      </c>
      <c r="C105" s="40"/>
      <c r="D105" s="2" t="s">
        <v>66</v>
      </c>
    </row>
    <row r="106" spans="2:6" x14ac:dyDescent="0.25">
      <c r="B106" s="39" t="s">
        <v>113</v>
      </c>
      <c r="C106" s="40"/>
    </row>
    <row r="107" spans="2:6" x14ac:dyDescent="0.25">
      <c r="B107" s="44" t="s">
        <v>114</v>
      </c>
      <c r="C107" s="40"/>
      <c r="D107"/>
    </row>
    <row r="108" spans="2:6" x14ac:dyDescent="0.25">
      <c r="B108" s="39" t="s">
        <v>115</v>
      </c>
      <c r="C108" s="42"/>
      <c r="D108" t="s">
        <v>116</v>
      </c>
    </row>
    <row r="109" spans="2:6" x14ac:dyDescent="0.25">
      <c r="B109" s="39" t="s">
        <v>117</v>
      </c>
      <c r="C109" s="42"/>
      <c r="D109" t="s">
        <v>118</v>
      </c>
    </row>
    <row r="110" spans="2:6" x14ac:dyDescent="0.25">
      <c r="B110" s="39" t="s">
        <v>119</v>
      </c>
      <c r="C110" s="40"/>
      <c r="D110"/>
      <c r="E110" s="11" t="s">
        <v>27</v>
      </c>
      <c r="F110" t="s">
        <v>78</v>
      </c>
    </row>
    <row r="111" spans="2:6" ht="36" customHeight="1" x14ac:dyDescent="0.25">
      <c r="B111" s="47" t="s">
        <v>72</v>
      </c>
      <c r="C111" s="42"/>
      <c r="D111"/>
    </row>
    <row r="112" spans="2:6" x14ac:dyDescent="0.25">
      <c r="C112" s="35"/>
      <c r="D112"/>
    </row>
    <row r="113" spans="2:6" x14ac:dyDescent="0.25">
      <c r="B113" s="48" t="s">
        <v>120</v>
      </c>
      <c r="C113" s="49"/>
      <c r="D113" s="9"/>
    </row>
    <row r="114" spans="2:6" x14ac:dyDescent="0.25">
      <c r="B114" s="50" t="s">
        <v>50</v>
      </c>
      <c r="C114" s="51" t="s">
        <v>98</v>
      </c>
      <c r="D114"/>
      <c r="E114" s="11" t="s">
        <v>27</v>
      </c>
      <c r="F114" t="s">
        <v>78</v>
      </c>
    </row>
    <row r="115" spans="2:6" x14ac:dyDescent="0.25">
      <c r="B115" s="52" t="s">
        <v>121</v>
      </c>
      <c r="C115" s="49"/>
      <c r="D115" s="9"/>
    </row>
    <row r="116" spans="2:6" x14ac:dyDescent="0.25">
      <c r="B116" s="52" t="s">
        <v>38</v>
      </c>
      <c r="C116" s="53"/>
      <c r="D116" s="9" t="s">
        <v>39</v>
      </c>
    </row>
    <row r="117" spans="2:6" x14ac:dyDescent="0.25">
      <c r="B117" s="50" t="s">
        <v>122</v>
      </c>
      <c r="C117" s="53"/>
      <c r="D117" s="9"/>
    </row>
    <row r="118" spans="2:6" x14ac:dyDescent="0.25">
      <c r="B118" s="50" t="s">
        <v>101</v>
      </c>
      <c r="C118" s="53"/>
      <c r="D118"/>
      <c r="E118" s="11" t="s">
        <v>27</v>
      </c>
    </row>
    <row r="119" spans="2:6" x14ac:dyDescent="0.25">
      <c r="B119" s="50" t="s">
        <v>102</v>
      </c>
      <c r="C119" s="53"/>
      <c r="D119" t="s">
        <v>83</v>
      </c>
    </row>
    <row r="120" spans="2:6" x14ac:dyDescent="0.25">
      <c r="B120" s="50" t="s">
        <v>115</v>
      </c>
      <c r="C120" s="53"/>
      <c r="D120" t="s">
        <v>116</v>
      </c>
    </row>
    <row r="121" spans="2:6" x14ac:dyDescent="0.25">
      <c r="B121" s="50" t="s">
        <v>123</v>
      </c>
      <c r="C121" s="53"/>
      <c r="D121"/>
    </row>
    <row r="122" spans="2:6" x14ac:dyDescent="0.25">
      <c r="B122" s="50" t="s">
        <v>124</v>
      </c>
      <c r="C122" s="53"/>
      <c r="D122" t="s">
        <v>118</v>
      </c>
    </row>
    <row r="123" spans="2:6" x14ac:dyDescent="0.25">
      <c r="B123" s="50" t="s">
        <v>64</v>
      </c>
      <c r="C123" s="51"/>
      <c r="D123"/>
      <c r="E123" s="11" t="s">
        <v>27</v>
      </c>
    </row>
    <row r="124" spans="2:6" x14ac:dyDescent="0.25">
      <c r="B124" s="50" t="s">
        <v>65</v>
      </c>
      <c r="C124" s="51"/>
      <c r="D124" s="2" t="s">
        <v>66</v>
      </c>
    </row>
    <row r="125" spans="2:6" x14ac:dyDescent="0.25">
      <c r="B125" s="50" t="s">
        <v>67</v>
      </c>
      <c r="C125" s="51"/>
    </row>
    <row r="126" spans="2:6" x14ac:dyDescent="0.25">
      <c r="B126" s="50" t="s">
        <v>68</v>
      </c>
      <c r="C126" s="51"/>
    </row>
    <row r="127" spans="2:6" x14ac:dyDescent="0.25">
      <c r="B127" s="50" t="s">
        <v>69</v>
      </c>
      <c r="C127" s="51"/>
      <c r="D127" s="2" t="s">
        <v>53</v>
      </c>
    </row>
    <row r="128" spans="2:6" x14ac:dyDescent="0.25">
      <c r="B128" s="50" t="s">
        <v>70</v>
      </c>
      <c r="C128" s="51"/>
      <c r="D128" s="2" t="s">
        <v>71</v>
      </c>
    </row>
    <row r="129" spans="2:3" customFormat="1" ht="36" customHeight="1" x14ac:dyDescent="0.25">
      <c r="B129" s="54" t="s">
        <v>72</v>
      </c>
      <c r="C129" s="51"/>
    </row>
    <row r="130" spans="2:3" customFormat="1" x14ac:dyDescent="0.25"/>
    <row r="132" spans="2:3" customFormat="1" x14ac:dyDescent="0.25"/>
    <row r="133" spans="2:3" customFormat="1" x14ac:dyDescent="0.25"/>
    <row r="134" spans="2:3" customFormat="1" x14ac:dyDescent="0.25"/>
    <row r="135" spans="2:3" customFormat="1" ht="36" customHeight="1" x14ac:dyDescent="0.25"/>
    <row r="136" spans="2:3" customFormat="1" x14ac:dyDescent="0.25"/>
    <row r="137" spans="2:3" customFormat="1" x14ac:dyDescent="0.25"/>
    <row r="138" spans="2:3" customFormat="1" ht="15.75" customHeight="1" x14ac:dyDescent="0.25"/>
    <row r="139" spans="2:3" customFormat="1" x14ac:dyDescent="0.25"/>
    <row r="140" spans="2:3" customFormat="1" x14ac:dyDescent="0.25"/>
    <row r="141" spans="2:3" customFormat="1" x14ac:dyDescent="0.25"/>
    <row r="142" spans="2:3" customFormat="1" x14ac:dyDescent="0.25"/>
    <row r="143" spans="2:3" customFormat="1" x14ac:dyDescent="0.25"/>
    <row r="144" spans="2:3" customFormat="1" x14ac:dyDescent="0.25"/>
    <row r="145" customFormat="1" x14ac:dyDescent="0.25"/>
    <row r="146" customFormat="1" x14ac:dyDescent="0.25"/>
    <row r="147" customFormat="1" x14ac:dyDescent="0.25"/>
  </sheetData>
  <dataValidations count="11">
    <dataValidation type="list" allowBlank="1" showInputMessage="1" showErrorMessage="1" sqref="C40 C62" xr:uid="{00000000-0002-0000-0000-000000000000}">
      <formula1>"Pt,Graphite"</formula1>
      <formula2>0</formula2>
    </dataValidation>
    <dataValidation type="list" allowBlank="1" showInputMessage="1" showErrorMessage="1" sqref="C37 C59" xr:uid="{00000000-0002-0000-0000-000001000000}">
      <formula1>"Hg/HgO,RHE,Ag/AgCl"</formula1>
      <formula2>0</formula2>
    </dataValidation>
    <dataValidation type="list" allowBlank="1" showInputMessage="1" showErrorMessage="1" sqref="C17" xr:uid="{00000000-0002-0000-0000-000002000000}">
      <formula1>"OER,HER,ORR,OOR"</formula1>
      <formula2>0</formula2>
    </dataValidation>
    <dataValidation type="list" allowBlank="1" showInputMessage="1" showErrorMessage="1" sqref="C20" xr:uid="{00000000-0002-0000-0000-000003000000}">
      <formula1>"None,50,90 ,100"</formula1>
      <formula2>0</formula2>
    </dataValidation>
    <dataValidation type="list" allowBlank="1" showInputMessage="1" showErrorMessage="1" sqref="C30 C52 C81 C98" xr:uid="{00000000-0002-0000-0000-000004000000}">
      <formula1>"drop cast,spray coating,sputtering,hot press,PLD"</formula1>
      <formula2>0</formula2>
    </dataValidation>
    <dataValidation type="list" allowBlank="1" showInputMessage="1" showErrorMessage="1" sqref="C32 C54" xr:uid="{00000000-0002-0000-0000-000005000000}">
      <formula1>"Silicon wafer,Glassy carbon,Ni felt,Ni foam,Ti felt,Carbon Paper,Carbon cloth,Graphite foil,Metal foil,Si Wafer,Si-Gold,Wafer,FTO,ITO,Membrane"</formula1>
      <formula2>0</formula2>
    </dataValidation>
    <dataValidation type="list" allowBlank="1" showInputMessage="1" showErrorMessage="1" sqref="C77 C94 C118" xr:uid="{00000000-0002-0000-0000-000006000000}">
      <formula1>"EPDM,PTFE,Silicon"</formula1>
      <formula2>0</formula2>
    </dataValidation>
    <dataValidation type="list" allowBlank="1" showInputMessage="1" showErrorMessage="1" sqref="C42 C64 C87 C104 C123" xr:uid="{00000000-0002-0000-0000-000007000000}">
      <formula1>"NaOH,KOH,H2SO4,HClO4,EG+KOH"</formula1>
      <formula2>0</formula2>
    </dataValidation>
    <dataValidation type="list" allowBlank="1" showInputMessage="1" showErrorMessage="1" sqref="C13 C79 C96" xr:uid="{00000000-0002-0000-0000-000008000000}">
      <formula1>"Nafion (5wt%),Piperion,Sustainion,Fumasep"</formula1>
      <formula2>0</formula2>
    </dataValidation>
    <dataValidation type="list" allowBlank="1" showInputMessage="1" showErrorMessage="1" sqref="C121" xr:uid="{00000000-0002-0000-0000-000009000000}">
      <formula1>"O2,H2,CO2"</formula1>
      <formula2>0</formula2>
    </dataValidation>
    <dataValidation type="list" allowBlank="1" showInputMessage="1" showErrorMessage="1" sqref="C18" xr:uid="{00000000-0002-0000-0000-00000A000000}">
      <formula1>"Biologic SP-150,Biologic SP-150E,Biologic Flex0012 (booster),Biologic SP300,Zahner Zenium E4,Zahner Zenium Pro,Zahner +P211 (booster),Ametek Parstat,Metrohm Autolab,Palmsens Palm sens4,CH Instruments CHI760E,Multi-channel "</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B000000}">
          <x14:formula1>
            <xm:f>'Metadata Lists for Dropdowns'!$E$3:$E$40</xm:f>
          </x14:formula1>
          <x14:formula2>
            <xm:f>0</xm:f>
          </x14:formula2>
          <xm:sqref>C80 C97</xm:sqref>
        </x14:dataValidation>
        <x14:dataValidation type="list" allowBlank="1" showInputMessage="1" showErrorMessage="1" xr:uid="{00000000-0002-0000-0000-00000C000000}">
          <x14:formula1>
            <xm:f>'Metadata Lists for Dropdowns'!$O$3:$O$50</xm:f>
          </x14:formula1>
          <x14:formula2>
            <xm:f>0</xm:f>
          </x14:formula2>
          <xm:sqref>C74 C91 C114</xm:sqref>
        </x14:dataValidation>
        <x14:dataValidation type="list" allowBlank="1" showInputMessage="1" showErrorMessage="1" xr:uid="{00000000-0002-0000-0000-00000D000000}">
          <x14:formula1>
            <xm:f>'Metadata Lists for Dropdowns'!$Y$3:$Y$40</xm:f>
          </x14:formula1>
          <x14:formula2>
            <xm:f>0</xm:f>
          </x14:formula2>
          <xm:sqref>C110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zoomScale="110" zoomScaleNormal="110" workbookViewId="0"/>
  </sheetViews>
  <sheetFormatPr defaultColWidth="8.85546875" defaultRowHeight="15" x14ac:dyDescent="0.25"/>
  <cols>
    <col min="1" max="1" width="149.28515625" customWidth="1"/>
  </cols>
  <sheetData>
    <row r="1" spans="1:1" x14ac:dyDescent="0.25">
      <c r="A1" t="s">
        <v>125</v>
      </c>
    </row>
    <row r="3" spans="1:1" x14ac:dyDescent="0.25">
      <c r="A3" t="s">
        <v>126</v>
      </c>
    </row>
    <row r="4" spans="1:1" x14ac:dyDescent="0.25">
      <c r="A4" t="s">
        <v>127</v>
      </c>
    </row>
    <row r="5" spans="1:1" x14ac:dyDescent="0.25">
      <c r="A5" t="s">
        <v>128</v>
      </c>
    </row>
    <row r="6" spans="1:1" x14ac:dyDescent="0.25">
      <c r="A6" t="s">
        <v>129</v>
      </c>
    </row>
    <row r="7" spans="1:1" x14ac:dyDescent="0.25">
      <c r="A7" t="s">
        <v>130</v>
      </c>
    </row>
    <row r="8" spans="1:1" x14ac:dyDescent="0.25">
      <c r="A8" t="s">
        <v>131</v>
      </c>
    </row>
    <row r="10" spans="1:1" x14ac:dyDescent="0.25">
      <c r="A10" t="s">
        <v>132</v>
      </c>
    </row>
    <row r="12" spans="1:1" x14ac:dyDescent="0.25">
      <c r="A12" t="s">
        <v>133</v>
      </c>
    </row>
    <row r="13" spans="1:1" ht="30" x14ac:dyDescent="0.25">
      <c r="A13" s="55" t="s">
        <v>134</v>
      </c>
    </row>
  </sheetData>
  <hyperlinks>
    <hyperlink ref="A10" r:id="rId1"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I50"/>
  <sheetViews>
    <sheetView zoomScale="38" zoomScaleNormal="38" workbookViewId="0">
      <selection activeCell="V3" sqref="V3"/>
    </sheetView>
  </sheetViews>
  <sheetFormatPr defaultColWidth="11.5703125" defaultRowHeight="15" x14ac:dyDescent="0.25"/>
  <cols>
    <col min="1" max="2" width="23.28515625" style="55" customWidth="1"/>
    <col min="3" max="3" width="19.28515625" style="55" customWidth="1"/>
    <col min="4" max="4" width="20.85546875" style="55" customWidth="1"/>
    <col min="5" max="5" width="34.85546875" style="55" customWidth="1"/>
    <col min="6" max="6" width="11.5703125" style="55"/>
    <col min="7" max="7" width="24.5703125" style="55" customWidth="1"/>
    <col min="8" max="9" width="11.5703125" style="55"/>
    <col min="10" max="10" width="15.140625" style="55" customWidth="1"/>
    <col min="11" max="11" width="43.5703125" style="55" customWidth="1"/>
    <col min="12" max="12" width="32.42578125" style="55" customWidth="1"/>
    <col min="13" max="13" width="11.5703125" style="55"/>
    <col min="14" max="14" width="23.28515625" style="55" customWidth="1"/>
    <col min="15" max="15" width="67.42578125" style="55" customWidth="1"/>
    <col min="16" max="16" width="11.5703125" style="55"/>
    <col min="17" max="17" width="35.85546875" style="55" customWidth="1"/>
    <col min="18" max="21" width="11.5703125" style="55"/>
    <col min="22" max="22" width="21.85546875" style="55" customWidth="1"/>
    <col min="23" max="23" width="16" style="55" customWidth="1"/>
    <col min="24" max="24" width="27.28515625" style="55" customWidth="1"/>
    <col min="26" max="26" width="11.5703125" style="55"/>
    <col min="27" max="27" width="21.5703125" style="55" customWidth="1"/>
    <col min="28" max="1023" width="11.5703125" style="55"/>
  </cols>
  <sheetData>
    <row r="1" spans="1:1023" s="57" customFormat="1" ht="31.5" x14ac:dyDescent="0.25">
      <c r="A1" s="56" t="s">
        <v>135</v>
      </c>
      <c r="B1" s="56"/>
      <c r="C1" s="56"/>
      <c r="D1" s="56"/>
      <c r="E1" s="56"/>
      <c r="G1" s="58" t="s">
        <v>136</v>
      </c>
      <c r="H1" s="58"/>
      <c r="I1" s="58"/>
      <c r="J1" s="58"/>
      <c r="K1" s="58"/>
      <c r="L1" s="58"/>
      <c r="M1" s="58"/>
      <c r="N1" s="58"/>
      <c r="O1" s="58"/>
      <c r="Q1" s="59" t="s">
        <v>137</v>
      </c>
      <c r="R1" s="59"/>
      <c r="S1" s="59"/>
      <c r="T1" s="59"/>
      <c r="V1" s="60" t="s">
        <v>138</v>
      </c>
      <c r="W1" s="60"/>
      <c r="X1" s="60"/>
      <c r="Y1" s="61"/>
      <c r="AA1" s="62" t="s">
        <v>139</v>
      </c>
      <c r="AB1" s="62"/>
      <c r="AC1" s="62"/>
      <c r="AD1" s="62"/>
      <c r="AE1" s="62"/>
      <c r="AMH1" s="55"/>
      <c r="AMI1" s="55"/>
    </row>
    <row r="2" spans="1:1023" s="57" customFormat="1" ht="63" x14ac:dyDescent="0.25">
      <c r="A2" s="56" t="s">
        <v>140</v>
      </c>
      <c r="B2" s="56" t="s">
        <v>141</v>
      </c>
      <c r="C2" s="56" t="s">
        <v>142</v>
      </c>
      <c r="D2" s="56" t="s">
        <v>143</v>
      </c>
      <c r="E2" s="56" t="s">
        <v>144</v>
      </c>
      <c r="G2" s="58" t="s">
        <v>140</v>
      </c>
      <c r="H2" s="58" t="s">
        <v>145</v>
      </c>
      <c r="I2" s="58" t="s">
        <v>146</v>
      </c>
      <c r="J2" s="58" t="s">
        <v>141</v>
      </c>
      <c r="K2" s="58" t="s">
        <v>142</v>
      </c>
      <c r="L2" s="58" t="s">
        <v>143</v>
      </c>
      <c r="M2" s="58" t="s">
        <v>147</v>
      </c>
      <c r="N2" s="58" t="s">
        <v>148</v>
      </c>
      <c r="O2" s="58" t="s">
        <v>144</v>
      </c>
      <c r="Q2" s="59" t="s">
        <v>140</v>
      </c>
      <c r="R2" s="59" t="s">
        <v>145</v>
      </c>
      <c r="S2" s="59" t="s">
        <v>149</v>
      </c>
      <c r="T2" s="59" t="s">
        <v>150</v>
      </c>
      <c r="V2" s="60" t="s">
        <v>140</v>
      </c>
      <c r="W2" s="60" t="s">
        <v>150</v>
      </c>
      <c r="X2" s="60" t="s">
        <v>151</v>
      </c>
      <c r="Y2" s="60" t="s">
        <v>144</v>
      </c>
      <c r="AA2" s="62" t="s">
        <v>152</v>
      </c>
      <c r="AB2" s="62" t="s">
        <v>153</v>
      </c>
      <c r="AC2" s="62" t="s">
        <v>154</v>
      </c>
      <c r="AD2" s="62" t="s">
        <v>155</v>
      </c>
      <c r="AE2" s="62" t="s">
        <v>156</v>
      </c>
      <c r="AMH2" s="55"/>
      <c r="AMI2" s="55"/>
    </row>
    <row r="3" spans="1:1023" x14ac:dyDescent="0.25">
      <c r="A3" s="63" t="s">
        <v>157</v>
      </c>
      <c r="B3" s="63">
        <v>127</v>
      </c>
      <c r="C3" s="63"/>
      <c r="D3" s="63" t="s">
        <v>157</v>
      </c>
      <c r="E3" s="64" t="str">
        <f t="shared" ref="E3:E40" si="0">A3&amp;", "&amp;B3&amp;"µm, "&amp;C3&amp;", "&amp;D3</f>
        <v>Nafion 115, 127µm, , Nafion 115</v>
      </c>
      <c r="F3" s="55" t="s">
        <v>158</v>
      </c>
      <c r="G3" s="65" t="s">
        <v>159</v>
      </c>
      <c r="H3" s="66"/>
      <c r="I3" s="66"/>
      <c r="J3" s="66"/>
      <c r="K3" s="66"/>
      <c r="L3" s="65"/>
      <c r="M3" s="65"/>
      <c r="N3" s="65"/>
      <c r="O3" s="66" t="str">
        <f t="shared" ref="O3:O50" si="1">G3&amp;", "&amp;H3&amp;", "&amp;I3&amp;", "&amp;J3&amp;"µm, "&amp;K3&amp;", "&amp;L3&amp;", "&amp;M3&amp;", "&amp;N3</f>
        <v xml:space="preserve">Silicon wafer, , , µm, , , , </v>
      </c>
      <c r="P3" s="55" t="s">
        <v>158</v>
      </c>
      <c r="Q3" s="67"/>
      <c r="R3" s="67"/>
      <c r="S3" s="67"/>
      <c r="T3" s="67"/>
      <c r="V3" s="68" t="s">
        <v>160</v>
      </c>
      <c r="W3" s="68" t="s">
        <v>161</v>
      </c>
      <c r="X3" s="68" t="s">
        <v>162</v>
      </c>
      <c r="Y3" s="69" t="str">
        <f t="shared" ref="Y3:Y40" si="2">V3&amp;", "&amp;W3&amp;", "&amp;X3</f>
        <v>pump lab ZPV, Watson Marlow, 300 series 2 channels</v>
      </c>
      <c r="Z3" s="55" t="s">
        <v>158</v>
      </c>
      <c r="AA3" s="70"/>
      <c r="AB3" s="70"/>
      <c r="AC3" s="70"/>
      <c r="AD3" s="70"/>
      <c r="AE3" s="70"/>
    </row>
    <row r="4" spans="1:1023" ht="30" x14ac:dyDescent="0.25">
      <c r="A4" s="63" t="s">
        <v>163</v>
      </c>
      <c r="B4" s="63">
        <v>51</v>
      </c>
      <c r="C4" s="63"/>
      <c r="D4" s="63" t="s">
        <v>163</v>
      </c>
      <c r="E4" s="64" t="str">
        <f t="shared" si="0"/>
        <v>Nafion 212, 51µm, , Nafion 212</v>
      </c>
      <c r="F4" s="55" t="s">
        <v>158</v>
      </c>
      <c r="G4" s="65" t="s">
        <v>164</v>
      </c>
      <c r="H4" s="66"/>
      <c r="I4" s="66"/>
      <c r="J4" s="66"/>
      <c r="K4" s="66"/>
      <c r="L4" s="65"/>
      <c r="M4" s="65"/>
      <c r="N4" s="65"/>
      <c r="O4" s="66" t="str">
        <f t="shared" si="1"/>
        <v xml:space="preserve">Glassy carbon, , , µm, , , , </v>
      </c>
      <c r="P4" s="55" t="s">
        <v>158</v>
      </c>
      <c r="Q4" s="67"/>
      <c r="R4" s="67"/>
      <c r="S4" s="67"/>
      <c r="T4" s="67"/>
      <c r="V4" s="68" t="s">
        <v>160</v>
      </c>
      <c r="W4" s="68" t="s">
        <v>165</v>
      </c>
      <c r="X4" s="68" t="s">
        <v>166</v>
      </c>
      <c r="Y4" s="69" t="str">
        <f t="shared" si="2"/>
        <v>pump lab ZPV, Redox Flow, BT600L Peristaltic Pump with up to 2 channels</v>
      </c>
      <c r="Z4" s="55" t="s">
        <v>158</v>
      </c>
      <c r="AA4" s="70"/>
      <c r="AB4" s="70"/>
      <c r="AC4" s="70"/>
      <c r="AD4" s="70"/>
      <c r="AE4" s="70"/>
    </row>
    <row r="5" spans="1:1023" ht="30" x14ac:dyDescent="0.25">
      <c r="A5" s="63" t="s">
        <v>167</v>
      </c>
      <c r="B5" s="63">
        <v>183</v>
      </c>
      <c r="C5" s="63"/>
      <c r="D5" s="63" t="s">
        <v>167</v>
      </c>
      <c r="E5" s="64" t="str">
        <f t="shared" si="0"/>
        <v>Nafion 117, 183µm, , Nafion 117</v>
      </c>
      <c r="F5" s="55" t="s">
        <v>158</v>
      </c>
      <c r="G5" s="65" t="s">
        <v>168</v>
      </c>
      <c r="H5" s="66"/>
      <c r="I5" s="66"/>
      <c r="J5" s="66"/>
      <c r="K5" s="66"/>
      <c r="L5" s="65"/>
      <c r="M5" s="65"/>
      <c r="N5" s="65"/>
      <c r="O5" s="66" t="str">
        <f t="shared" si="1"/>
        <v xml:space="preserve">Ni felt, , , µm, , , , </v>
      </c>
      <c r="P5" s="55" t="s">
        <v>158</v>
      </c>
      <c r="Q5" s="67"/>
      <c r="R5" s="67"/>
      <c r="S5" s="67"/>
      <c r="T5" s="67"/>
      <c r="V5" s="68" t="s">
        <v>169</v>
      </c>
      <c r="W5" s="68" t="s">
        <v>165</v>
      </c>
      <c r="X5" s="68" t="s">
        <v>166</v>
      </c>
      <c r="Y5" s="69" t="str">
        <f t="shared" si="2"/>
        <v>pump lab 159 zahner setup, Redox Flow, BT600L Peristaltic Pump with up to 2 channels</v>
      </c>
      <c r="Z5" s="55" t="s">
        <v>158</v>
      </c>
      <c r="AA5" s="70"/>
      <c r="AB5" s="70"/>
      <c r="AC5" s="70"/>
      <c r="AD5" s="70"/>
      <c r="AE5" s="70"/>
    </row>
    <row r="6" spans="1:1023" ht="30" x14ac:dyDescent="0.25">
      <c r="A6" s="63" t="s">
        <v>170</v>
      </c>
      <c r="B6" s="63">
        <v>50</v>
      </c>
      <c r="C6" s="63"/>
      <c r="D6" s="63" t="s">
        <v>170</v>
      </c>
      <c r="E6" s="64" t="str">
        <f t="shared" si="0"/>
        <v>Aquivion E98-05s, 50µm, , Aquivion E98-05s</v>
      </c>
      <c r="F6" s="55" t="s">
        <v>158</v>
      </c>
      <c r="G6" s="65" t="s">
        <v>171</v>
      </c>
      <c r="H6" s="65"/>
      <c r="I6" s="65"/>
      <c r="J6" s="65">
        <v>100</v>
      </c>
      <c r="K6" s="65" t="s">
        <v>172</v>
      </c>
      <c r="L6" s="65"/>
      <c r="M6" s="65"/>
      <c r="N6" s="65"/>
      <c r="O6" s="66" t="str">
        <f t="shared" si="1"/>
        <v xml:space="preserve">Ni fibre felt, , , 100µm, Xinxiang Aida Machinery Equipment Corporation, , , </v>
      </c>
      <c r="P6" s="55" t="s">
        <v>158</v>
      </c>
      <c r="Q6" s="67"/>
      <c r="R6" s="67"/>
      <c r="S6" s="67"/>
      <c r="T6" s="67"/>
      <c r="V6" s="68" t="s">
        <v>173</v>
      </c>
      <c r="W6" s="68" t="s">
        <v>165</v>
      </c>
      <c r="X6" s="68" t="s">
        <v>166</v>
      </c>
      <c r="Y6" s="69" t="str">
        <f t="shared" si="2"/>
        <v>pump lab 159 autolab setup, Redox Flow, BT600L Peristaltic Pump with up to 2 channels</v>
      </c>
      <c r="Z6" s="55" t="s">
        <v>158</v>
      </c>
      <c r="AA6" s="70"/>
      <c r="AB6" s="70"/>
      <c r="AC6" s="70"/>
      <c r="AD6" s="70"/>
      <c r="AE6" s="70"/>
    </row>
    <row r="7" spans="1:1023" ht="30" x14ac:dyDescent="0.25">
      <c r="A7" s="63" t="s">
        <v>174</v>
      </c>
      <c r="B7" s="63">
        <v>50</v>
      </c>
      <c r="C7" s="63"/>
      <c r="D7" s="63" t="s">
        <v>174</v>
      </c>
      <c r="E7" s="64" t="str">
        <f t="shared" si="0"/>
        <v>Aquivion E87-05s, 50µm, , Aquivion E87-05s</v>
      </c>
      <c r="F7" s="55" t="s">
        <v>158</v>
      </c>
      <c r="G7" s="65" t="s">
        <v>171</v>
      </c>
      <c r="H7" s="65"/>
      <c r="I7" s="65"/>
      <c r="J7" s="65">
        <v>500</v>
      </c>
      <c r="K7" s="65" t="s">
        <v>172</v>
      </c>
      <c r="L7" s="65"/>
      <c r="M7" s="65"/>
      <c r="N7" s="65"/>
      <c r="O7" s="66" t="str">
        <f t="shared" si="1"/>
        <v xml:space="preserve">Ni fibre felt, , , 500µm, Xinxiang Aida Machinery Equipment Corporation, , , </v>
      </c>
      <c r="P7" s="55" t="s">
        <v>158</v>
      </c>
      <c r="Q7" s="67"/>
      <c r="R7" s="67"/>
      <c r="S7" s="67"/>
      <c r="T7" s="67"/>
      <c r="V7" s="68"/>
      <c r="W7" s="68"/>
      <c r="X7" s="68"/>
      <c r="Y7" s="69" t="str">
        <f t="shared" si="2"/>
        <v xml:space="preserve">, , </v>
      </c>
      <c r="Z7" s="55" t="s">
        <v>158</v>
      </c>
      <c r="AA7" s="70"/>
      <c r="AB7" s="70"/>
      <c r="AC7" s="70"/>
      <c r="AD7" s="70"/>
      <c r="AE7" s="70"/>
    </row>
    <row r="8" spans="1:1023" x14ac:dyDescent="0.25">
      <c r="A8" s="63" t="s">
        <v>175</v>
      </c>
      <c r="B8" s="63">
        <v>90</v>
      </c>
      <c r="C8" s="63"/>
      <c r="D8" s="63" t="s">
        <v>175</v>
      </c>
      <c r="E8" s="64" t="str">
        <f t="shared" si="0"/>
        <v>Aquivion E98-09s, 90µm, , Aquivion E98-09s</v>
      </c>
      <c r="F8" s="55" t="s">
        <v>158</v>
      </c>
      <c r="G8" s="65" t="s">
        <v>171</v>
      </c>
      <c r="H8" s="65"/>
      <c r="I8" s="65"/>
      <c r="J8" s="65">
        <v>200</v>
      </c>
      <c r="K8" s="65" t="s">
        <v>176</v>
      </c>
      <c r="L8" s="65" t="s">
        <v>177</v>
      </c>
      <c r="M8" s="65"/>
      <c r="N8" s="65" t="s">
        <v>178</v>
      </c>
      <c r="O8" s="66" t="str">
        <f t="shared" si="1"/>
        <v>Ni fibre felt, , , 200µm, BEKAERT, 2Ni06-020, , double</v>
      </c>
      <c r="P8" s="55" t="s">
        <v>158</v>
      </c>
      <c r="Q8" s="67"/>
      <c r="R8" s="67"/>
      <c r="S8" s="67"/>
      <c r="T8" s="67"/>
      <c r="V8" s="68"/>
      <c r="W8" s="68"/>
      <c r="X8" s="68"/>
      <c r="Y8" s="69" t="str">
        <f t="shared" si="2"/>
        <v xml:space="preserve">, , </v>
      </c>
      <c r="Z8" s="55" t="s">
        <v>158</v>
      </c>
      <c r="AA8" s="70"/>
      <c r="AB8" s="70"/>
      <c r="AC8" s="70"/>
      <c r="AD8" s="70"/>
      <c r="AE8" s="70"/>
    </row>
    <row r="9" spans="1:1023" x14ac:dyDescent="0.25">
      <c r="A9" s="63" t="s">
        <v>179</v>
      </c>
      <c r="B9" s="63">
        <v>150</v>
      </c>
      <c r="C9" s="63"/>
      <c r="D9" s="63" t="s">
        <v>179</v>
      </c>
      <c r="E9" s="64" t="str">
        <f t="shared" si="0"/>
        <v>Aquivion E98-15s, 150µm, , Aquivion E98-15s</v>
      </c>
      <c r="F9" s="55" t="s">
        <v>158</v>
      </c>
      <c r="G9" s="65" t="s">
        <v>171</v>
      </c>
      <c r="H9" s="65"/>
      <c r="I9" s="65"/>
      <c r="J9" s="65">
        <v>1000</v>
      </c>
      <c r="K9" s="65" t="s">
        <v>176</v>
      </c>
      <c r="L9" s="65" t="s">
        <v>180</v>
      </c>
      <c r="M9" s="65"/>
      <c r="N9" s="65" t="s">
        <v>178</v>
      </c>
      <c r="O9" s="66" t="str">
        <f t="shared" si="1"/>
        <v>Ni fibre felt, , , 1000µm, BEKAERT, 2Ni30-100, , double</v>
      </c>
      <c r="P9" s="55" t="s">
        <v>158</v>
      </c>
      <c r="Q9" s="67"/>
      <c r="R9" s="67"/>
      <c r="S9" s="67"/>
      <c r="T9" s="67"/>
      <c r="V9" s="68"/>
      <c r="W9" s="68"/>
      <c r="X9" s="68"/>
      <c r="Y9" s="69" t="str">
        <f t="shared" si="2"/>
        <v xml:space="preserve">, , </v>
      </c>
      <c r="Z9" s="55" t="s">
        <v>158</v>
      </c>
      <c r="AA9" s="70"/>
      <c r="AB9" s="70"/>
      <c r="AC9" s="70"/>
      <c r="AD9" s="70"/>
      <c r="AE9" s="70"/>
    </row>
    <row r="10" spans="1:1023" x14ac:dyDescent="0.25">
      <c r="A10" s="63"/>
      <c r="B10" s="63">
        <v>50</v>
      </c>
      <c r="C10" s="63" t="s">
        <v>181</v>
      </c>
      <c r="D10" s="63" t="s">
        <v>182</v>
      </c>
      <c r="E10" s="64" t="str">
        <f t="shared" si="0"/>
        <v>, 50µm, Fumatech, Fumasep FAA-3-50</v>
      </c>
      <c r="F10" s="55" t="s">
        <v>158</v>
      </c>
      <c r="G10" s="65" t="s">
        <v>171</v>
      </c>
      <c r="H10" s="65"/>
      <c r="I10" s="65"/>
      <c r="J10" s="65">
        <v>500</v>
      </c>
      <c r="K10" s="65" t="s">
        <v>176</v>
      </c>
      <c r="L10" s="65" t="s">
        <v>183</v>
      </c>
      <c r="M10" s="65"/>
      <c r="N10" s="65" t="s">
        <v>178</v>
      </c>
      <c r="O10" s="66" t="str">
        <f t="shared" si="1"/>
        <v>Ni fibre felt, , , 500µm, BEKAERT, 2Ni18-050, , double</v>
      </c>
      <c r="P10" s="55" t="s">
        <v>158</v>
      </c>
      <c r="Q10" s="67"/>
      <c r="R10" s="67"/>
      <c r="S10" s="67"/>
      <c r="T10" s="67"/>
      <c r="V10" s="68"/>
      <c r="W10" s="68"/>
      <c r="X10" s="68"/>
      <c r="Y10" s="69" t="str">
        <f t="shared" si="2"/>
        <v xml:space="preserve">, , </v>
      </c>
      <c r="Z10" s="55" t="s">
        <v>158</v>
      </c>
      <c r="AA10" s="70"/>
      <c r="AB10" s="70"/>
      <c r="AC10" s="70"/>
      <c r="AD10" s="70"/>
      <c r="AE10" s="70"/>
    </row>
    <row r="11" spans="1:1023" x14ac:dyDescent="0.25">
      <c r="A11" s="63"/>
      <c r="B11" s="63">
        <v>75</v>
      </c>
      <c r="C11" s="63" t="s">
        <v>181</v>
      </c>
      <c r="D11" s="63" t="s">
        <v>184</v>
      </c>
      <c r="E11" s="64" t="str">
        <f t="shared" si="0"/>
        <v>, 75µm, Fumatech, FAAM-pk-75</v>
      </c>
      <c r="F11" s="55" t="s">
        <v>158</v>
      </c>
      <c r="G11" s="65" t="s">
        <v>171</v>
      </c>
      <c r="H11" s="65"/>
      <c r="I11" s="65"/>
      <c r="J11" s="65">
        <v>200</v>
      </c>
      <c r="K11" s="65" t="s">
        <v>176</v>
      </c>
      <c r="L11" s="65" t="s">
        <v>185</v>
      </c>
      <c r="M11" s="65"/>
      <c r="N11" s="65" t="s">
        <v>186</v>
      </c>
      <c r="O11" s="66" t="str">
        <f t="shared" si="1"/>
        <v>Ni fibre felt, , , 200µm, BEKAERT, 1Ni06-020, , single</v>
      </c>
      <c r="P11" s="55" t="s">
        <v>158</v>
      </c>
      <c r="Q11" s="67"/>
      <c r="R11" s="67"/>
      <c r="S11" s="67"/>
      <c r="T11" s="67"/>
      <c r="V11" s="68"/>
      <c r="W11" s="68"/>
      <c r="X11" s="68"/>
      <c r="Y11" s="69" t="str">
        <f t="shared" si="2"/>
        <v xml:space="preserve">, , </v>
      </c>
      <c r="Z11" s="55" t="s">
        <v>158</v>
      </c>
      <c r="AA11" s="70"/>
      <c r="AB11" s="70"/>
      <c r="AC11" s="70"/>
      <c r="AD11" s="70"/>
      <c r="AE11" s="70"/>
    </row>
    <row r="12" spans="1:1023" x14ac:dyDescent="0.25">
      <c r="A12" s="63"/>
      <c r="B12" s="63">
        <v>500</v>
      </c>
      <c r="C12" s="63" t="s">
        <v>187</v>
      </c>
      <c r="D12" s="63" t="s">
        <v>188</v>
      </c>
      <c r="E12" s="64" t="str">
        <f t="shared" si="0"/>
        <v>, 500µm, AGFA, Zirfon perl UTP 500</v>
      </c>
      <c r="F12" s="55" t="s">
        <v>158</v>
      </c>
      <c r="G12" s="66" t="s">
        <v>189</v>
      </c>
      <c r="H12" s="66"/>
      <c r="I12" s="66"/>
      <c r="J12" s="66"/>
      <c r="K12" s="66"/>
      <c r="L12" s="66"/>
      <c r="M12" s="65"/>
      <c r="N12" s="65"/>
      <c r="O12" s="66" t="str">
        <f t="shared" si="1"/>
        <v xml:space="preserve">Ni foam, , , µm, , , , </v>
      </c>
      <c r="P12" s="55" t="s">
        <v>158</v>
      </c>
      <c r="Q12" s="67"/>
      <c r="R12" s="67"/>
      <c r="S12" s="67"/>
      <c r="T12" s="67"/>
      <c r="V12" s="68"/>
      <c r="W12" s="68"/>
      <c r="X12" s="68"/>
      <c r="Y12" s="69" t="str">
        <f t="shared" si="2"/>
        <v xml:space="preserve">, , </v>
      </c>
      <c r="Z12" s="55" t="s">
        <v>158</v>
      </c>
      <c r="AA12" s="70"/>
      <c r="AB12" s="70"/>
      <c r="AC12" s="70"/>
      <c r="AD12" s="70"/>
      <c r="AE12" s="70"/>
    </row>
    <row r="13" spans="1:1023" x14ac:dyDescent="0.25">
      <c r="A13" s="63"/>
      <c r="B13" s="63">
        <v>30</v>
      </c>
      <c r="C13" s="63" t="s">
        <v>190</v>
      </c>
      <c r="D13" s="63" t="s">
        <v>191</v>
      </c>
      <c r="E13" s="64" t="str">
        <f t="shared" si="0"/>
        <v>, 30µm, Fuel cell store, FAS-30</v>
      </c>
      <c r="F13" s="55" t="s">
        <v>158</v>
      </c>
      <c r="G13" s="65" t="s">
        <v>189</v>
      </c>
      <c r="H13" s="65"/>
      <c r="I13" s="65"/>
      <c r="J13" s="65">
        <v>1600</v>
      </c>
      <c r="K13" s="65" t="s">
        <v>192</v>
      </c>
      <c r="L13" s="66"/>
      <c r="M13" s="65"/>
      <c r="N13" s="65"/>
      <c r="O13" s="66" t="str">
        <f t="shared" si="1"/>
        <v xml:space="preserve">Ni foam, , , 1600µm, American elements, , , </v>
      </c>
      <c r="P13" s="55" t="s">
        <v>158</v>
      </c>
      <c r="Q13" s="67"/>
      <c r="R13" s="67"/>
      <c r="S13" s="67"/>
      <c r="T13" s="67"/>
      <c r="V13" s="68"/>
      <c r="W13" s="68"/>
      <c r="X13" s="68"/>
      <c r="Y13" s="69" t="str">
        <f t="shared" si="2"/>
        <v xml:space="preserve">, , </v>
      </c>
      <c r="Z13" s="55" t="s">
        <v>158</v>
      </c>
      <c r="AA13" s="70"/>
      <c r="AB13" s="70"/>
      <c r="AC13" s="70"/>
      <c r="AD13" s="70"/>
      <c r="AE13" s="70"/>
    </row>
    <row r="14" spans="1:1023" x14ac:dyDescent="0.25">
      <c r="A14" s="71"/>
      <c r="B14" s="63">
        <v>50</v>
      </c>
      <c r="C14" s="63" t="s">
        <v>193</v>
      </c>
      <c r="D14" s="63" t="s">
        <v>194</v>
      </c>
      <c r="E14" s="64" t="str">
        <f t="shared" si="0"/>
        <v>, 50µm, Dioxide materials, X37-50 Grade RT</v>
      </c>
      <c r="F14" s="55" t="s">
        <v>158</v>
      </c>
      <c r="G14" s="65" t="s">
        <v>189</v>
      </c>
      <c r="H14" s="65"/>
      <c r="I14" s="65"/>
      <c r="J14" s="65">
        <v>1000</v>
      </c>
      <c r="K14" s="65" t="s">
        <v>195</v>
      </c>
      <c r="L14" s="65"/>
      <c r="M14" s="65"/>
      <c r="N14" s="65"/>
      <c r="O14" s="66" t="str">
        <f t="shared" si="1"/>
        <v xml:space="preserve">Ni foam, , , 1000µm, cambridge energy solutions, , , </v>
      </c>
      <c r="P14" s="55" t="s">
        <v>158</v>
      </c>
      <c r="Q14" s="67"/>
      <c r="R14" s="67"/>
      <c r="S14" s="67"/>
      <c r="T14" s="67"/>
      <c r="V14" s="68"/>
      <c r="W14" s="68"/>
      <c r="X14" s="68"/>
      <c r="Y14" s="69" t="str">
        <f t="shared" si="2"/>
        <v xml:space="preserve">, , </v>
      </c>
      <c r="Z14" s="55" t="s">
        <v>158</v>
      </c>
      <c r="AA14" s="70"/>
      <c r="AB14" s="70"/>
      <c r="AC14" s="70"/>
      <c r="AD14" s="70"/>
      <c r="AE14" s="70"/>
    </row>
    <row r="15" spans="1:1023" x14ac:dyDescent="0.25">
      <c r="A15" s="63"/>
      <c r="B15" s="63">
        <v>75</v>
      </c>
      <c r="C15" s="63" t="s">
        <v>196</v>
      </c>
      <c r="D15" s="63" t="s">
        <v>197</v>
      </c>
      <c r="E15" s="64" t="str">
        <f t="shared" si="0"/>
        <v>, 75µm, Quintech, FM-FAA-3-PK-75</v>
      </c>
      <c r="F15" s="55" t="s">
        <v>158</v>
      </c>
      <c r="G15" s="65" t="s">
        <v>189</v>
      </c>
      <c r="H15" s="65"/>
      <c r="I15" s="65"/>
      <c r="J15" s="65">
        <v>500</v>
      </c>
      <c r="K15" s="65" t="s">
        <v>195</v>
      </c>
      <c r="L15" s="65"/>
      <c r="M15" s="65"/>
      <c r="N15" s="65"/>
      <c r="O15" s="66" t="str">
        <f t="shared" si="1"/>
        <v xml:space="preserve">Ni foam, , , 500µm, cambridge energy solutions, , , </v>
      </c>
      <c r="P15" s="55" t="s">
        <v>158</v>
      </c>
      <c r="Q15" s="67"/>
      <c r="R15" s="67"/>
      <c r="S15" s="67"/>
      <c r="T15" s="67"/>
      <c r="V15" s="68"/>
      <c r="W15" s="68"/>
      <c r="X15" s="68"/>
      <c r="Y15" s="69" t="str">
        <f t="shared" si="2"/>
        <v xml:space="preserve">, , </v>
      </c>
      <c r="Z15" s="55" t="s">
        <v>158</v>
      </c>
      <c r="AA15" s="70"/>
      <c r="AB15" s="70"/>
      <c r="AC15" s="70"/>
      <c r="AD15" s="70"/>
      <c r="AE15" s="70"/>
    </row>
    <row r="16" spans="1:1023" x14ac:dyDescent="0.25">
      <c r="A16" s="63"/>
      <c r="B16" s="63"/>
      <c r="C16" s="63" t="s">
        <v>196</v>
      </c>
      <c r="D16" s="63" t="s">
        <v>198</v>
      </c>
      <c r="E16" s="64" t="str">
        <f t="shared" si="0"/>
        <v>, µm, Quintech, GS-LB-SIL-PET-250</v>
      </c>
      <c r="F16" s="55" t="s">
        <v>158</v>
      </c>
      <c r="G16" s="65" t="s">
        <v>189</v>
      </c>
      <c r="H16" s="65"/>
      <c r="I16" s="65"/>
      <c r="J16" s="65">
        <v>1600</v>
      </c>
      <c r="K16" s="65" t="s">
        <v>199</v>
      </c>
      <c r="L16" s="65"/>
      <c r="M16" s="65"/>
      <c r="N16" s="65"/>
      <c r="O16" s="66" t="str">
        <f t="shared" si="1"/>
        <v xml:space="preserve">Ni foam, , , 1600µm, nanografi, , , </v>
      </c>
      <c r="P16" s="55" t="s">
        <v>158</v>
      </c>
      <c r="Q16" s="67"/>
      <c r="R16" s="67"/>
      <c r="S16" s="67"/>
      <c r="T16" s="67"/>
      <c r="V16" s="68"/>
      <c r="W16" s="68"/>
      <c r="X16" s="68"/>
      <c r="Y16" s="69" t="str">
        <f t="shared" si="2"/>
        <v xml:space="preserve">, , </v>
      </c>
      <c r="Z16" s="55" t="s">
        <v>158</v>
      </c>
      <c r="AA16" s="70"/>
      <c r="AB16" s="70"/>
      <c r="AC16" s="70"/>
      <c r="AD16" s="70"/>
      <c r="AE16" s="70"/>
    </row>
    <row r="17" spans="1:31" x14ac:dyDescent="0.25">
      <c r="A17" s="63"/>
      <c r="B17" s="63">
        <v>50</v>
      </c>
      <c r="C17" s="63" t="s">
        <v>196</v>
      </c>
      <c r="D17" s="63" t="s">
        <v>200</v>
      </c>
      <c r="E17" s="64" t="str">
        <f t="shared" si="0"/>
        <v>, 50µm, Quintech, FM-FAA-3-50</v>
      </c>
      <c r="F17" s="55" t="s">
        <v>158</v>
      </c>
      <c r="G17" s="66" t="s">
        <v>201</v>
      </c>
      <c r="H17" s="66"/>
      <c r="I17" s="66"/>
      <c r="J17" s="66"/>
      <c r="K17" s="66"/>
      <c r="L17" s="65"/>
      <c r="M17" s="65"/>
      <c r="N17" s="65"/>
      <c r="O17" s="66" t="str">
        <f t="shared" si="1"/>
        <v xml:space="preserve">Carbon Paper, , , µm, , , , </v>
      </c>
      <c r="P17" s="55" t="s">
        <v>158</v>
      </c>
      <c r="Q17" s="67"/>
      <c r="R17" s="67"/>
      <c r="S17" s="67"/>
      <c r="T17" s="67"/>
      <c r="V17" s="68"/>
      <c r="W17" s="68"/>
      <c r="X17" s="68"/>
      <c r="Y17" s="69" t="str">
        <f t="shared" si="2"/>
        <v xml:space="preserve">, , </v>
      </c>
      <c r="AA17" s="70"/>
      <c r="AB17" s="70"/>
      <c r="AC17" s="70"/>
      <c r="AD17" s="70"/>
      <c r="AE17" s="70"/>
    </row>
    <row r="18" spans="1:31" x14ac:dyDescent="0.25">
      <c r="A18" s="63"/>
      <c r="B18" s="63">
        <v>130</v>
      </c>
      <c r="C18" s="63" t="s">
        <v>196</v>
      </c>
      <c r="D18" s="63" t="s">
        <v>202</v>
      </c>
      <c r="E18" s="64" t="str">
        <f t="shared" si="0"/>
        <v>, 130µm, Quintech, FM-FAA-3-PK-130</v>
      </c>
      <c r="F18" s="55" t="s">
        <v>158</v>
      </c>
      <c r="G18" s="65" t="s">
        <v>203</v>
      </c>
      <c r="H18" s="65"/>
      <c r="I18" s="65"/>
      <c r="J18" s="65"/>
      <c r="K18" s="65" t="s">
        <v>204</v>
      </c>
      <c r="L18" s="65" t="s">
        <v>205</v>
      </c>
      <c r="M18" s="65"/>
      <c r="N18" s="65"/>
      <c r="O18" s="66" t="str">
        <f t="shared" si="1"/>
        <v xml:space="preserve">Carbon paper, , , µm, ion power, 36BC grade GDL', , </v>
      </c>
      <c r="P18" s="55" t="s">
        <v>158</v>
      </c>
      <c r="Q18" s="67"/>
      <c r="R18" s="67"/>
      <c r="S18" s="67"/>
      <c r="T18" s="67"/>
      <c r="V18" s="68"/>
      <c r="W18" s="68"/>
      <c r="X18" s="68"/>
      <c r="Y18" s="69" t="str">
        <f t="shared" si="2"/>
        <v xml:space="preserve">, , </v>
      </c>
      <c r="AA18" s="70"/>
      <c r="AB18" s="70"/>
      <c r="AC18" s="70"/>
      <c r="AD18" s="70"/>
      <c r="AE18" s="70"/>
    </row>
    <row r="19" spans="1:31" x14ac:dyDescent="0.25">
      <c r="A19" s="63"/>
      <c r="B19" s="63"/>
      <c r="C19" s="63" t="s">
        <v>190</v>
      </c>
      <c r="D19" s="63" t="s">
        <v>206</v>
      </c>
      <c r="E19" s="64" t="str">
        <f t="shared" si="0"/>
        <v>, µm, Fuel cell store, Xiom-AEM</v>
      </c>
      <c r="F19" s="55" t="s">
        <v>158</v>
      </c>
      <c r="G19" s="65" t="s">
        <v>203</v>
      </c>
      <c r="H19" s="65"/>
      <c r="I19" s="65"/>
      <c r="J19" s="65"/>
      <c r="K19" s="65" t="s">
        <v>204</v>
      </c>
      <c r="L19" s="65" t="s">
        <v>207</v>
      </c>
      <c r="M19" s="65"/>
      <c r="N19" s="65"/>
      <c r="O19" s="66" t="str">
        <f t="shared" si="1"/>
        <v xml:space="preserve">Carbon paper, , , µm, ion power, 28BC grade GDL, , </v>
      </c>
      <c r="P19" s="55" t="s">
        <v>158</v>
      </c>
      <c r="Q19" s="67"/>
      <c r="R19" s="67"/>
      <c r="S19" s="67"/>
      <c r="T19" s="67"/>
      <c r="V19" s="68"/>
      <c r="W19" s="68"/>
      <c r="X19" s="68"/>
      <c r="Y19" s="69" t="str">
        <f t="shared" si="2"/>
        <v xml:space="preserve">, , </v>
      </c>
      <c r="AA19" s="70"/>
      <c r="AB19" s="70"/>
      <c r="AC19" s="70"/>
      <c r="AD19" s="70"/>
      <c r="AE19" s="70"/>
    </row>
    <row r="20" spans="1:31" x14ac:dyDescent="0.25">
      <c r="A20" s="63"/>
      <c r="B20" s="63">
        <v>50</v>
      </c>
      <c r="C20" s="63" t="s">
        <v>181</v>
      </c>
      <c r="D20" s="63" t="s">
        <v>208</v>
      </c>
      <c r="E20" s="64" t="str">
        <f t="shared" si="0"/>
        <v>, 50µm, Fumatech, FAS-50</v>
      </c>
      <c r="F20" s="55" t="s">
        <v>158</v>
      </c>
      <c r="G20" s="65" t="s">
        <v>203</v>
      </c>
      <c r="H20" s="65"/>
      <c r="I20" s="65"/>
      <c r="J20" s="65"/>
      <c r="K20" s="65" t="s">
        <v>209</v>
      </c>
      <c r="L20" s="65" t="s">
        <v>210</v>
      </c>
      <c r="M20" s="65"/>
      <c r="N20" s="65"/>
      <c r="O20" s="66" t="str">
        <f t="shared" si="1"/>
        <v xml:space="preserve">Carbon paper, , , µm, Sgl carbon, Sigracet GDL 22BB, , </v>
      </c>
      <c r="P20" s="55" t="s">
        <v>158</v>
      </c>
      <c r="Q20" s="67"/>
      <c r="R20" s="67"/>
      <c r="S20" s="67"/>
      <c r="T20" s="67"/>
      <c r="V20" s="68"/>
      <c r="W20" s="68"/>
      <c r="X20" s="68"/>
      <c r="Y20" s="69" t="str">
        <f t="shared" si="2"/>
        <v xml:space="preserve">, , </v>
      </c>
      <c r="AA20" s="70"/>
      <c r="AB20" s="70"/>
      <c r="AC20" s="70"/>
      <c r="AD20" s="70"/>
      <c r="AE20" s="70"/>
    </row>
    <row r="21" spans="1:31" x14ac:dyDescent="0.25">
      <c r="A21" s="63"/>
      <c r="B21" s="63">
        <v>75</v>
      </c>
      <c r="C21" s="63" t="s">
        <v>196</v>
      </c>
      <c r="D21" s="63" t="s">
        <v>197</v>
      </c>
      <c r="E21" s="64" t="str">
        <f t="shared" si="0"/>
        <v>, 75µm, Quintech, FM-FAA-3-PK-75</v>
      </c>
      <c r="F21" s="55" t="s">
        <v>158</v>
      </c>
      <c r="G21" s="65" t="s">
        <v>203</v>
      </c>
      <c r="H21" s="65"/>
      <c r="I21" s="65"/>
      <c r="J21" s="65"/>
      <c r="K21" s="65" t="s">
        <v>209</v>
      </c>
      <c r="L21" s="65" t="s">
        <v>211</v>
      </c>
      <c r="M21" s="65"/>
      <c r="N21" s="65"/>
      <c r="O21" s="66" t="str">
        <f t="shared" si="1"/>
        <v xml:space="preserve">Carbon paper, , , µm, Sgl carbon, Sigracet GDL 28BC, , </v>
      </c>
      <c r="P21" s="55" t="s">
        <v>158</v>
      </c>
      <c r="Q21" s="67"/>
      <c r="R21" s="67"/>
      <c r="S21" s="67"/>
      <c r="T21" s="67"/>
      <c r="V21" s="68"/>
      <c r="W21" s="68"/>
      <c r="X21" s="68"/>
      <c r="Y21" s="69" t="str">
        <f t="shared" si="2"/>
        <v xml:space="preserve">, , </v>
      </c>
      <c r="AA21" s="70"/>
      <c r="AB21" s="70"/>
      <c r="AC21" s="70"/>
      <c r="AD21" s="70"/>
      <c r="AE21" s="70"/>
    </row>
    <row r="22" spans="1:31" x14ac:dyDescent="0.25">
      <c r="A22" s="63"/>
      <c r="B22" s="63">
        <v>75</v>
      </c>
      <c r="C22" s="63" t="s">
        <v>196</v>
      </c>
      <c r="D22" s="63" t="s">
        <v>212</v>
      </c>
      <c r="E22" s="64" t="str">
        <f t="shared" si="0"/>
        <v>, 75µm, Quintech, FM-FAAM-75-PK</v>
      </c>
      <c r="F22" s="55" t="s">
        <v>158</v>
      </c>
      <c r="G22" s="65" t="s">
        <v>203</v>
      </c>
      <c r="H22" s="65"/>
      <c r="I22" s="65"/>
      <c r="J22" s="65"/>
      <c r="K22" s="65" t="s">
        <v>196</v>
      </c>
      <c r="L22" s="65" t="s">
        <v>213</v>
      </c>
      <c r="M22" s="65"/>
      <c r="N22" s="65"/>
      <c r="O22" s="66" t="str">
        <f t="shared" si="1"/>
        <v xml:space="preserve">Carbon paper, , , µm, Quintech, Freudenberg H23C2, , </v>
      </c>
      <c r="P22" s="55" t="s">
        <v>158</v>
      </c>
      <c r="Q22" s="67"/>
      <c r="R22" s="67"/>
      <c r="S22" s="67"/>
      <c r="T22" s="67"/>
      <c r="V22" s="68"/>
      <c r="W22" s="68"/>
      <c r="X22" s="68"/>
      <c r="Y22" s="69" t="str">
        <f t="shared" si="2"/>
        <v xml:space="preserve">, , </v>
      </c>
      <c r="AA22" s="70"/>
      <c r="AB22" s="70"/>
      <c r="AC22" s="70"/>
      <c r="AD22" s="70"/>
      <c r="AE22" s="70"/>
    </row>
    <row r="23" spans="1:31" x14ac:dyDescent="0.25">
      <c r="A23" s="63"/>
      <c r="B23" s="63">
        <v>20</v>
      </c>
      <c r="C23" s="63" t="s">
        <v>214</v>
      </c>
      <c r="D23" s="63" t="s">
        <v>215</v>
      </c>
      <c r="E23" s="64" t="str">
        <f t="shared" si="0"/>
        <v>, 20µm, Piperion, Piperion-A20-HCO3</v>
      </c>
      <c r="F23" s="55" t="s">
        <v>158</v>
      </c>
      <c r="G23" s="65" t="s">
        <v>203</v>
      </c>
      <c r="H23" s="65"/>
      <c r="I23" s="65"/>
      <c r="J23" s="65"/>
      <c r="K23" s="65" t="s">
        <v>196</v>
      </c>
      <c r="L23" s="65" t="s">
        <v>216</v>
      </c>
      <c r="M23" s="65"/>
      <c r="N23" s="65"/>
      <c r="O23" s="66" t="str">
        <f t="shared" si="1"/>
        <v xml:space="preserve">Carbon paper, , , µm, Quintech, AC-P75, , </v>
      </c>
      <c r="P23" s="55" t="s">
        <v>158</v>
      </c>
      <c r="Q23" s="67"/>
      <c r="R23" s="67"/>
      <c r="S23" s="67"/>
      <c r="T23" s="67"/>
      <c r="V23" s="68"/>
      <c r="W23" s="68"/>
      <c r="X23" s="68"/>
      <c r="Y23" s="69" t="str">
        <f t="shared" si="2"/>
        <v xml:space="preserve">, , </v>
      </c>
      <c r="AA23" s="70"/>
      <c r="AB23" s="70"/>
      <c r="AC23" s="70"/>
      <c r="AD23" s="70"/>
      <c r="AE23" s="70"/>
    </row>
    <row r="24" spans="1:31" x14ac:dyDescent="0.25">
      <c r="A24" s="63"/>
      <c r="B24" s="63">
        <v>80</v>
      </c>
      <c r="C24" s="63" t="s">
        <v>214</v>
      </c>
      <c r="D24" s="63" t="s">
        <v>217</v>
      </c>
      <c r="E24" s="64" t="str">
        <f t="shared" si="0"/>
        <v>, 80µm, Piperion, Piperion-A80-HCO3</v>
      </c>
      <c r="F24" s="55" t="s">
        <v>158</v>
      </c>
      <c r="G24" s="65" t="s">
        <v>203</v>
      </c>
      <c r="H24" s="65"/>
      <c r="I24" s="65"/>
      <c r="J24" s="65"/>
      <c r="K24" s="65" t="s">
        <v>196</v>
      </c>
      <c r="L24" s="65" t="s">
        <v>218</v>
      </c>
      <c r="M24" s="65"/>
      <c r="N24" s="65"/>
      <c r="O24" s="66" t="str">
        <f t="shared" si="1"/>
        <v xml:space="preserve">Carbon paper, , , µm, Quintech, GDS 310, , </v>
      </c>
      <c r="P24" s="55" t="s">
        <v>158</v>
      </c>
      <c r="Q24" s="67"/>
      <c r="R24" s="67"/>
      <c r="S24" s="67"/>
      <c r="T24" s="67"/>
      <c r="V24" s="68"/>
      <c r="W24" s="68"/>
      <c r="X24" s="68"/>
      <c r="Y24" s="69" t="str">
        <f t="shared" si="2"/>
        <v xml:space="preserve">, , </v>
      </c>
      <c r="AA24" s="70"/>
      <c r="AB24" s="70"/>
      <c r="AC24" s="70"/>
      <c r="AD24" s="70"/>
      <c r="AE24" s="70"/>
    </row>
    <row r="25" spans="1:31" x14ac:dyDescent="0.25">
      <c r="A25" s="63"/>
      <c r="B25" s="63"/>
      <c r="C25" s="63"/>
      <c r="D25" s="63"/>
      <c r="E25" s="64" t="str">
        <f t="shared" si="0"/>
        <v xml:space="preserve">, µm, , </v>
      </c>
      <c r="G25" s="65" t="s">
        <v>203</v>
      </c>
      <c r="H25" s="65"/>
      <c r="I25" s="65"/>
      <c r="J25" s="65"/>
      <c r="K25" s="65" t="s">
        <v>196</v>
      </c>
      <c r="L25" s="65" t="s">
        <v>219</v>
      </c>
      <c r="M25" s="65"/>
      <c r="N25" s="65"/>
      <c r="O25" s="66" t="str">
        <f t="shared" si="1"/>
        <v xml:space="preserve">Carbon paper, , , µm, Quintech, Freudenberg H23C6, , </v>
      </c>
      <c r="P25" s="55" t="s">
        <v>158</v>
      </c>
      <c r="Q25" s="67"/>
      <c r="R25" s="67"/>
      <c r="S25" s="67"/>
      <c r="T25" s="67"/>
      <c r="V25" s="68"/>
      <c r="W25" s="68"/>
      <c r="X25" s="68"/>
      <c r="Y25" s="69" t="str">
        <f t="shared" si="2"/>
        <v xml:space="preserve">, , </v>
      </c>
      <c r="AA25" s="70"/>
      <c r="AB25" s="70"/>
      <c r="AC25" s="70"/>
      <c r="AD25" s="70"/>
      <c r="AE25" s="70"/>
    </row>
    <row r="26" spans="1:31" x14ac:dyDescent="0.25">
      <c r="A26" s="63"/>
      <c r="B26" s="63"/>
      <c r="C26" s="63"/>
      <c r="D26" s="63"/>
      <c r="E26" s="64" t="str">
        <f t="shared" si="0"/>
        <v xml:space="preserve">, µm, , </v>
      </c>
      <c r="G26" s="65" t="s">
        <v>203</v>
      </c>
      <c r="H26" s="65"/>
      <c r="I26" s="65"/>
      <c r="J26" s="65"/>
      <c r="K26" s="65" t="s">
        <v>196</v>
      </c>
      <c r="L26" s="65" t="s">
        <v>220</v>
      </c>
      <c r="M26" s="65"/>
      <c r="N26" s="65"/>
      <c r="O26" s="66" t="str">
        <f t="shared" si="1"/>
        <v xml:space="preserve">Carbon paper, , , µm, Quintech, 0.5mg/cm2 Pt/C on H23C6, , </v>
      </c>
      <c r="P26" s="55" t="s">
        <v>158</v>
      </c>
      <c r="Q26" s="67"/>
      <c r="R26" s="67"/>
      <c r="S26" s="67"/>
      <c r="T26" s="67"/>
      <c r="V26" s="68"/>
      <c r="W26" s="68"/>
      <c r="X26" s="68"/>
      <c r="Y26" s="69" t="str">
        <f t="shared" si="2"/>
        <v xml:space="preserve">, , </v>
      </c>
      <c r="AA26" s="70"/>
      <c r="AB26" s="70"/>
      <c r="AC26" s="70"/>
      <c r="AD26" s="70"/>
      <c r="AE26" s="70"/>
    </row>
    <row r="27" spans="1:31" x14ac:dyDescent="0.25">
      <c r="A27" s="63"/>
      <c r="B27" s="63"/>
      <c r="C27" s="63"/>
      <c r="D27" s="63"/>
      <c r="E27" s="64" t="str">
        <f t="shared" si="0"/>
        <v xml:space="preserve">, µm, , </v>
      </c>
      <c r="G27" s="65" t="s">
        <v>203</v>
      </c>
      <c r="H27" s="65"/>
      <c r="I27" s="65"/>
      <c r="J27" s="65"/>
      <c r="K27" s="65" t="s">
        <v>196</v>
      </c>
      <c r="L27" s="65" t="s">
        <v>221</v>
      </c>
      <c r="M27" s="65"/>
      <c r="N27" s="65"/>
      <c r="O27" s="66" t="str">
        <f t="shared" si="1"/>
        <v xml:space="preserve">Carbon paper, , , µm, Quintech, 1.0mg/cm2 Pt/C on H23C6, , </v>
      </c>
      <c r="P27" s="55" t="s">
        <v>158</v>
      </c>
      <c r="Q27" s="67"/>
      <c r="R27" s="67"/>
      <c r="S27" s="67"/>
      <c r="T27" s="67"/>
      <c r="V27" s="68"/>
      <c r="W27" s="68"/>
      <c r="X27" s="68"/>
      <c r="Y27" s="69" t="str">
        <f t="shared" si="2"/>
        <v xml:space="preserve">, , </v>
      </c>
      <c r="AA27" s="70"/>
      <c r="AB27" s="70"/>
      <c r="AC27" s="70"/>
      <c r="AD27" s="70"/>
      <c r="AE27" s="70"/>
    </row>
    <row r="28" spans="1:31" x14ac:dyDescent="0.25">
      <c r="A28" s="63"/>
      <c r="B28" s="63"/>
      <c r="C28" s="63"/>
      <c r="D28" s="63"/>
      <c r="E28" s="64" t="str">
        <f t="shared" si="0"/>
        <v xml:space="preserve">, µm, , </v>
      </c>
      <c r="G28" s="65" t="s">
        <v>203</v>
      </c>
      <c r="H28" s="65"/>
      <c r="I28" s="65"/>
      <c r="J28" s="65"/>
      <c r="K28" s="65" t="s">
        <v>222</v>
      </c>
      <c r="L28" s="66"/>
      <c r="M28" s="65"/>
      <c r="N28" s="65"/>
      <c r="O28" s="66" t="str">
        <f t="shared" si="1"/>
        <v xml:space="preserve">Carbon paper, , , µm, Sigracet 25 BC, , , </v>
      </c>
      <c r="P28" s="55" t="s">
        <v>158</v>
      </c>
      <c r="Q28" s="67"/>
      <c r="R28" s="67"/>
      <c r="S28" s="67"/>
      <c r="T28" s="67"/>
      <c r="V28" s="68"/>
      <c r="W28" s="68"/>
      <c r="X28" s="68"/>
      <c r="Y28" s="69" t="str">
        <f t="shared" si="2"/>
        <v xml:space="preserve">, , </v>
      </c>
      <c r="AA28" s="70"/>
      <c r="AB28" s="70"/>
      <c r="AC28" s="70"/>
      <c r="AD28" s="70"/>
      <c r="AE28" s="70"/>
    </row>
    <row r="29" spans="1:31" x14ac:dyDescent="0.25">
      <c r="A29" s="63"/>
      <c r="B29" s="63"/>
      <c r="C29" s="63"/>
      <c r="D29" s="63"/>
      <c r="E29" s="64" t="str">
        <f t="shared" si="0"/>
        <v xml:space="preserve">, µm, , </v>
      </c>
      <c r="G29" s="65" t="s">
        <v>203</v>
      </c>
      <c r="H29" s="65"/>
      <c r="I29" s="65"/>
      <c r="J29" s="65"/>
      <c r="K29" s="65" t="s">
        <v>223</v>
      </c>
      <c r="L29" s="66"/>
      <c r="M29" s="65"/>
      <c r="N29" s="65"/>
      <c r="O29" s="66" t="str">
        <f t="shared" si="1"/>
        <v xml:space="preserve">Carbon paper, , , µm, Sigracet 22 BB, , , </v>
      </c>
      <c r="P29" s="55" t="s">
        <v>158</v>
      </c>
      <c r="Q29" s="67"/>
      <c r="R29" s="67"/>
      <c r="S29" s="67"/>
      <c r="T29" s="67"/>
      <c r="V29" s="68"/>
      <c r="W29" s="68"/>
      <c r="X29" s="68"/>
      <c r="Y29" s="69" t="str">
        <f t="shared" si="2"/>
        <v xml:space="preserve">, , </v>
      </c>
      <c r="AA29" s="70"/>
      <c r="AB29" s="70"/>
      <c r="AC29" s="70"/>
      <c r="AD29" s="70"/>
      <c r="AE29" s="70"/>
    </row>
    <row r="30" spans="1:31" x14ac:dyDescent="0.25">
      <c r="A30" s="63"/>
      <c r="B30" s="63"/>
      <c r="C30" s="63"/>
      <c r="D30" s="63"/>
      <c r="E30" s="64" t="str">
        <f t="shared" si="0"/>
        <v xml:space="preserve">, µm, , </v>
      </c>
      <c r="G30" s="65" t="s">
        <v>203</v>
      </c>
      <c r="H30" s="65"/>
      <c r="I30" s="65"/>
      <c r="J30" s="65"/>
      <c r="K30" s="65" t="s">
        <v>224</v>
      </c>
      <c r="L30" s="66"/>
      <c r="M30" s="65"/>
      <c r="N30" s="65"/>
      <c r="O30" s="66" t="str">
        <f t="shared" si="1"/>
        <v xml:space="preserve">Carbon paper, , , µm, Sigracet 28 BC, , , </v>
      </c>
      <c r="P30" s="55" t="s">
        <v>158</v>
      </c>
      <c r="Q30" s="67"/>
      <c r="R30" s="67"/>
      <c r="S30" s="67"/>
      <c r="T30" s="67"/>
      <c r="V30" s="68"/>
      <c r="W30" s="68"/>
      <c r="X30" s="68"/>
      <c r="Y30" s="69" t="str">
        <f t="shared" si="2"/>
        <v xml:space="preserve">, , </v>
      </c>
      <c r="AA30" s="70"/>
      <c r="AB30" s="70"/>
      <c r="AC30" s="70"/>
      <c r="AD30" s="70"/>
      <c r="AE30" s="70"/>
    </row>
    <row r="31" spans="1:31" x14ac:dyDescent="0.25">
      <c r="A31" s="63"/>
      <c r="B31" s="63"/>
      <c r="C31" s="63"/>
      <c r="D31" s="63"/>
      <c r="E31" s="64" t="str">
        <f t="shared" si="0"/>
        <v xml:space="preserve">, µm, , </v>
      </c>
      <c r="G31" s="65" t="s">
        <v>225</v>
      </c>
      <c r="H31" s="66"/>
      <c r="I31" s="66"/>
      <c r="J31" s="66"/>
      <c r="K31" s="66"/>
      <c r="L31" s="66"/>
      <c r="M31" s="65"/>
      <c r="N31" s="65"/>
      <c r="O31" s="66" t="str">
        <f t="shared" si="1"/>
        <v xml:space="preserve">Carbon cloth, , , µm, , , , </v>
      </c>
      <c r="P31" s="55" t="s">
        <v>158</v>
      </c>
      <c r="Q31" s="67"/>
      <c r="R31" s="67"/>
      <c r="S31" s="67"/>
      <c r="T31" s="67"/>
      <c r="V31" s="68"/>
      <c r="W31" s="68"/>
      <c r="X31" s="68"/>
      <c r="Y31" s="69" t="str">
        <f t="shared" si="2"/>
        <v xml:space="preserve">, , </v>
      </c>
      <c r="AA31" s="70"/>
      <c r="AB31" s="70"/>
      <c r="AC31" s="70"/>
      <c r="AD31" s="70"/>
      <c r="AE31" s="70"/>
    </row>
    <row r="32" spans="1:31" x14ac:dyDescent="0.25">
      <c r="A32" s="63"/>
      <c r="B32" s="63"/>
      <c r="C32" s="63"/>
      <c r="D32" s="63"/>
      <c r="E32" s="64" t="str">
        <f t="shared" si="0"/>
        <v xml:space="preserve">, µm, , </v>
      </c>
      <c r="G32" s="65" t="s">
        <v>226</v>
      </c>
      <c r="H32" s="65"/>
      <c r="I32" s="65"/>
      <c r="J32" s="65"/>
      <c r="K32" s="65" t="s">
        <v>196</v>
      </c>
      <c r="L32" s="65" t="s">
        <v>227</v>
      </c>
      <c r="M32" s="65"/>
      <c r="N32" s="65"/>
      <c r="O32" s="66" t="str">
        <f t="shared" si="1"/>
        <v xml:space="preserve">Carbon Cloth, , , µm, Quintech, W1S1011, , </v>
      </c>
      <c r="P32" s="55" t="s">
        <v>158</v>
      </c>
      <c r="Q32" s="67"/>
      <c r="R32" s="67"/>
      <c r="S32" s="67"/>
      <c r="T32" s="67"/>
      <c r="V32" s="68"/>
      <c r="W32" s="68"/>
      <c r="X32" s="68"/>
      <c r="Y32" s="69" t="str">
        <f t="shared" si="2"/>
        <v xml:space="preserve">, , </v>
      </c>
      <c r="AA32" s="70"/>
      <c r="AB32" s="70"/>
      <c r="AC32" s="70"/>
      <c r="AD32" s="70"/>
      <c r="AE32" s="70"/>
    </row>
    <row r="33" spans="1:31" x14ac:dyDescent="0.25">
      <c r="A33" s="63"/>
      <c r="B33" s="63"/>
      <c r="C33" s="63"/>
      <c r="D33" s="63"/>
      <c r="E33" s="64" t="str">
        <f t="shared" si="0"/>
        <v xml:space="preserve">, µm, , </v>
      </c>
      <c r="G33" s="65" t="s">
        <v>226</v>
      </c>
      <c r="H33" s="65"/>
      <c r="I33" s="65"/>
      <c r="J33" s="65"/>
      <c r="K33" s="65" t="s">
        <v>196</v>
      </c>
      <c r="L33" s="65" t="s">
        <v>228</v>
      </c>
      <c r="M33" s="65"/>
      <c r="N33" s="65"/>
      <c r="O33" s="66" t="str">
        <f t="shared" si="1"/>
        <v xml:space="preserve">Carbon Cloth, , , µm, Quintech, W0S1011, , </v>
      </c>
      <c r="P33" s="55" t="s">
        <v>158</v>
      </c>
      <c r="Q33" s="67"/>
      <c r="R33" s="67"/>
      <c r="S33" s="67"/>
      <c r="T33" s="67"/>
      <c r="V33" s="68"/>
      <c r="W33" s="68"/>
      <c r="X33" s="68"/>
      <c r="Y33" s="69" t="str">
        <f t="shared" si="2"/>
        <v xml:space="preserve">, , </v>
      </c>
      <c r="AA33" s="70"/>
      <c r="AB33" s="70"/>
      <c r="AC33" s="70"/>
      <c r="AD33" s="70"/>
      <c r="AE33" s="70"/>
    </row>
    <row r="34" spans="1:31" x14ac:dyDescent="0.25">
      <c r="A34" s="63"/>
      <c r="B34" s="63"/>
      <c r="C34" s="63"/>
      <c r="D34" s="63"/>
      <c r="E34" s="64" t="str">
        <f t="shared" si="0"/>
        <v xml:space="preserve">, µm, , </v>
      </c>
      <c r="G34" s="65" t="s">
        <v>229</v>
      </c>
      <c r="H34" s="65"/>
      <c r="I34" s="65"/>
      <c r="J34" s="65"/>
      <c r="K34" s="65"/>
      <c r="L34" s="65"/>
      <c r="M34" s="65"/>
      <c r="N34" s="65"/>
      <c r="O34" s="66" t="str">
        <f t="shared" si="1"/>
        <v xml:space="preserve">Ti felt, , , µm, , , , </v>
      </c>
      <c r="P34" s="55" t="s">
        <v>158</v>
      </c>
      <c r="Q34" s="67"/>
      <c r="R34" s="67"/>
      <c r="S34" s="67"/>
      <c r="T34" s="67"/>
      <c r="V34" s="68"/>
      <c r="W34" s="68"/>
      <c r="X34" s="68"/>
      <c r="Y34" s="69" t="str">
        <f t="shared" si="2"/>
        <v xml:space="preserve">, , </v>
      </c>
      <c r="AA34" s="70"/>
      <c r="AB34" s="70"/>
      <c r="AC34" s="70"/>
      <c r="AD34" s="70"/>
      <c r="AE34" s="70"/>
    </row>
    <row r="35" spans="1:31" x14ac:dyDescent="0.25">
      <c r="A35" s="63"/>
      <c r="B35" s="63"/>
      <c r="C35" s="63"/>
      <c r="D35" s="63"/>
      <c r="E35" s="64" t="str">
        <f t="shared" si="0"/>
        <v xml:space="preserve">, µm, , </v>
      </c>
      <c r="G35" s="65" t="s">
        <v>230</v>
      </c>
      <c r="H35" s="65"/>
      <c r="I35" s="65"/>
      <c r="J35" s="65"/>
      <c r="K35" s="65"/>
      <c r="L35" s="65"/>
      <c r="M35" s="65"/>
      <c r="N35" s="65"/>
      <c r="O35" s="66" t="str">
        <f t="shared" si="1"/>
        <v xml:space="preserve">Graphite foil, , , µm, , , , </v>
      </c>
      <c r="P35" s="55" t="s">
        <v>158</v>
      </c>
      <c r="Q35" s="67"/>
      <c r="R35" s="67"/>
      <c r="S35" s="67"/>
      <c r="T35" s="67"/>
      <c r="V35" s="68"/>
      <c r="W35" s="68"/>
      <c r="X35" s="68"/>
      <c r="Y35" s="69" t="str">
        <f t="shared" si="2"/>
        <v xml:space="preserve">, , </v>
      </c>
      <c r="AA35" s="70"/>
      <c r="AB35" s="70"/>
      <c r="AC35" s="70"/>
      <c r="AD35" s="70"/>
      <c r="AE35" s="70"/>
    </row>
    <row r="36" spans="1:31" x14ac:dyDescent="0.25">
      <c r="A36" s="63"/>
      <c r="B36" s="63"/>
      <c r="C36" s="63"/>
      <c r="D36" s="63"/>
      <c r="E36" s="64" t="str">
        <f t="shared" si="0"/>
        <v xml:space="preserve">, µm, , </v>
      </c>
      <c r="G36" s="65" t="s">
        <v>231</v>
      </c>
      <c r="H36" s="65"/>
      <c r="I36" s="65"/>
      <c r="J36" s="65"/>
      <c r="K36" s="65"/>
      <c r="L36" s="65"/>
      <c r="M36" s="65"/>
      <c r="N36" s="65"/>
      <c r="O36" s="66" t="str">
        <f t="shared" si="1"/>
        <v xml:space="preserve">Metal foil, , , µm, , , , </v>
      </c>
      <c r="P36" s="55" t="s">
        <v>158</v>
      </c>
      <c r="Q36" s="67"/>
      <c r="R36" s="67"/>
      <c r="S36" s="67"/>
      <c r="T36" s="67"/>
      <c r="V36" s="68"/>
      <c r="W36" s="68"/>
      <c r="X36" s="68"/>
      <c r="Y36" s="69" t="str">
        <f t="shared" si="2"/>
        <v xml:space="preserve">, , </v>
      </c>
      <c r="AA36" s="70"/>
      <c r="AB36" s="70"/>
      <c r="AC36" s="70"/>
      <c r="AD36" s="70"/>
      <c r="AE36" s="70"/>
    </row>
    <row r="37" spans="1:31" x14ac:dyDescent="0.25">
      <c r="A37" s="63"/>
      <c r="B37" s="63"/>
      <c r="C37" s="63"/>
      <c r="D37" s="63"/>
      <c r="E37" s="64" t="str">
        <f t="shared" si="0"/>
        <v xml:space="preserve">, µm, , </v>
      </c>
      <c r="G37" s="65" t="s">
        <v>232</v>
      </c>
      <c r="H37" s="65"/>
      <c r="I37" s="65"/>
      <c r="J37" s="65"/>
      <c r="K37" s="65"/>
      <c r="L37" s="65"/>
      <c r="M37" s="65"/>
      <c r="N37" s="65"/>
      <c r="O37" s="66" t="str">
        <f t="shared" si="1"/>
        <v xml:space="preserve">Si-Gold, , , µm, , , , </v>
      </c>
      <c r="P37" s="55" t="s">
        <v>158</v>
      </c>
      <c r="Q37" s="67"/>
      <c r="R37" s="67"/>
      <c r="S37" s="67"/>
      <c r="T37" s="67"/>
      <c r="V37" s="68"/>
      <c r="W37" s="68"/>
      <c r="X37" s="68"/>
      <c r="Y37" s="69" t="str">
        <f t="shared" si="2"/>
        <v xml:space="preserve">, , </v>
      </c>
      <c r="AA37" s="70"/>
      <c r="AB37" s="70"/>
      <c r="AC37" s="70"/>
      <c r="AD37" s="70"/>
      <c r="AE37" s="70"/>
    </row>
    <row r="38" spans="1:31" x14ac:dyDescent="0.25">
      <c r="A38" s="63"/>
      <c r="B38" s="63"/>
      <c r="C38" s="63"/>
      <c r="D38" s="63"/>
      <c r="E38" s="64" t="str">
        <f t="shared" si="0"/>
        <v xml:space="preserve">, µm, , </v>
      </c>
      <c r="G38" s="65" t="s">
        <v>233</v>
      </c>
      <c r="H38" s="65"/>
      <c r="I38" s="65"/>
      <c r="J38" s="65"/>
      <c r="K38" s="65"/>
      <c r="L38" s="65"/>
      <c r="M38" s="65"/>
      <c r="N38" s="65"/>
      <c r="O38" s="66" t="str">
        <f t="shared" si="1"/>
        <v xml:space="preserve">Wafer, , , µm, , , , </v>
      </c>
      <c r="P38" s="55" t="s">
        <v>158</v>
      </c>
      <c r="Q38" s="67"/>
      <c r="R38" s="67"/>
      <c r="S38" s="67"/>
      <c r="T38" s="67"/>
      <c r="V38" s="68"/>
      <c r="W38" s="68"/>
      <c r="X38" s="68"/>
      <c r="Y38" s="69" t="str">
        <f t="shared" si="2"/>
        <v xml:space="preserve">, , </v>
      </c>
      <c r="AA38" s="70"/>
      <c r="AB38" s="70"/>
      <c r="AC38" s="70"/>
      <c r="AD38" s="70"/>
      <c r="AE38" s="70"/>
    </row>
    <row r="39" spans="1:31" x14ac:dyDescent="0.25">
      <c r="A39" s="63"/>
      <c r="B39" s="63"/>
      <c r="C39" s="63"/>
      <c r="D39" s="63"/>
      <c r="E39" s="64" t="str">
        <f t="shared" si="0"/>
        <v xml:space="preserve">, µm, , </v>
      </c>
      <c r="G39" s="65" t="s">
        <v>234</v>
      </c>
      <c r="H39" s="65"/>
      <c r="I39" s="65"/>
      <c r="J39" s="65"/>
      <c r="K39" s="65"/>
      <c r="L39" s="65"/>
      <c r="M39" s="65"/>
      <c r="N39" s="65"/>
      <c r="O39" s="66" t="str">
        <f t="shared" si="1"/>
        <v xml:space="preserve">FTO, , , µm, , , , </v>
      </c>
      <c r="P39" s="55" t="s">
        <v>158</v>
      </c>
      <c r="Q39" s="67"/>
      <c r="R39" s="67"/>
      <c r="S39" s="67"/>
      <c r="T39" s="67"/>
      <c r="V39" s="68"/>
      <c r="W39" s="68"/>
      <c r="X39" s="68"/>
      <c r="Y39" s="69" t="str">
        <f t="shared" si="2"/>
        <v xml:space="preserve">, , </v>
      </c>
      <c r="AA39" s="70"/>
      <c r="AB39" s="70"/>
      <c r="AC39" s="70"/>
      <c r="AD39" s="70"/>
      <c r="AE39" s="70"/>
    </row>
    <row r="40" spans="1:31" x14ac:dyDescent="0.25">
      <c r="A40" s="63"/>
      <c r="B40" s="63"/>
      <c r="C40" s="63"/>
      <c r="D40" s="63"/>
      <c r="E40" s="64" t="str">
        <f t="shared" si="0"/>
        <v xml:space="preserve">, µm, , </v>
      </c>
      <c r="G40" s="65" t="s">
        <v>235</v>
      </c>
      <c r="H40" s="65"/>
      <c r="I40" s="65"/>
      <c r="J40" s="65"/>
      <c r="K40" s="65"/>
      <c r="L40" s="65"/>
      <c r="M40" s="65"/>
      <c r="N40" s="65"/>
      <c r="O40" s="66" t="str">
        <f t="shared" si="1"/>
        <v xml:space="preserve">ITO, , , µm, , , , </v>
      </c>
      <c r="P40" s="55" t="s">
        <v>158</v>
      </c>
      <c r="Q40" s="67"/>
      <c r="R40" s="67"/>
      <c r="S40" s="67"/>
      <c r="T40" s="67"/>
      <c r="V40" s="68"/>
      <c r="W40" s="68"/>
      <c r="X40" s="68"/>
      <c r="Y40" s="69" t="str">
        <f t="shared" si="2"/>
        <v xml:space="preserve">, , </v>
      </c>
      <c r="AA40" s="70"/>
      <c r="AB40" s="70"/>
      <c r="AC40" s="70"/>
      <c r="AD40" s="70"/>
      <c r="AE40" s="70"/>
    </row>
    <row r="41" spans="1:31" x14ac:dyDescent="0.25">
      <c r="A41" s="72"/>
      <c r="G41" s="65" t="s">
        <v>76</v>
      </c>
      <c r="H41" s="65"/>
      <c r="I41" s="65"/>
      <c r="J41" s="65"/>
      <c r="K41" s="65"/>
      <c r="L41" s="65"/>
      <c r="M41" s="65"/>
      <c r="N41" s="65"/>
      <c r="O41" s="66" t="str">
        <f t="shared" si="1"/>
        <v xml:space="preserve">Membrane, , , µm, , , , </v>
      </c>
      <c r="P41" s="55" t="s">
        <v>158</v>
      </c>
    </row>
    <row r="42" spans="1:31" x14ac:dyDescent="0.25">
      <c r="G42" s="65"/>
      <c r="H42" s="65"/>
      <c r="I42" s="65"/>
      <c r="J42" s="65"/>
      <c r="K42" s="65"/>
      <c r="L42" s="65"/>
      <c r="M42" s="65"/>
      <c r="N42" s="65"/>
      <c r="O42" s="66" t="str">
        <f t="shared" si="1"/>
        <v xml:space="preserve">, , , µm, , , , </v>
      </c>
    </row>
    <row r="43" spans="1:31" x14ac:dyDescent="0.25">
      <c r="G43" s="65"/>
      <c r="H43" s="65"/>
      <c r="I43" s="65"/>
      <c r="J43" s="65"/>
      <c r="K43" s="65"/>
      <c r="L43" s="65"/>
      <c r="M43" s="65"/>
      <c r="N43" s="65"/>
      <c r="O43" s="66" t="str">
        <f t="shared" si="1"/>
        <v xml:space="preserve">, , , µm, , , , </v>
      </c>
    </row>
    <row r="44" spans="1:31" x14ac:dyDescent="0.25">
      <c r="G44" s="66"/>
      <c r="H44" s="65"/>
      <c r="I44" s="65"/>
      <c r="J44" s="65"/>
      <c r="K44" s="65"/>
      <c r="L44" s="65"/>
      <c r="M44" s="65"/>
      <c r="N44" s="65"/>
      <c r="O44" s="66" t="str">
        <f t="shared" si="1"/>
        <v xml:space="preserve">, , , µm, , , , </v>
      </c>
    </row>
    <row r="45" spans="1:31" x14ac:dyDescent="0.25">
      <c r="G45" s="66"/>
      <c r="H45" s="65"/>
      <c r="I45" s="65"/>
      <c r="J45" s="65"/>
      <c r="K45" s="65"/>
      <c r="L45" s="65"/>
      <c r="M45" s="65"/>
      <c r="N45" s="65"/>
      <c r="O45" s="66" t="str">
        <f t="shared" si="1"/>
        <v xml:space="preserve">, , , µm, , , , </v>
      </c>
    </row>
    <row r="46" spans="1:31" x14ac:dyDescent="0.25">
      <c r="G46" s="66"/>
      <c r="H46" s="65"/>
      <c r="I46" s="65"/>
      <c r="J46" s="65"/>
      <c r="K46" s="65"/>
      <c r="L46" s="65"/>
      <c r="M46" s="65"/>
      <c r="N46" s="65"/>
      <c r="O46" s="66" t="str">
        <f t="shared" si="1"/>
        <v xml:space="preserve">, , , µm, , , , </v>
      </c>
    </row>
    <row r="47" spans="1:31" x14ac:dyDescent="0.25">
      <c r="G47" s="66"/>
      <c r="H47" s="65"/>
      <c r="I47" s="65"/>
      <c r="J47" s="65"/>
      <c r="K47" s="65"/>
      <c r="L47" s="65"/>
      <c r="M47" s="65"/>
      <c r="N47" s="65"/>
      <c r="O47" s="66" t="str">
        <f t="shared" si="1"/>
        <v xml:space="preserve">, , , µm, , , , </v>
      </c>
    </row>
    <row r="48" spans="1:31" x14ac:dyDescent="0.25">
      <c r="G48" s="66"/>
      <c r="H48" s="65"/>
      <c r="I48" s="65"/>
      <c r="J48" s="65"/>
      <c r="K48" s="65"/>
      <c r="L48" s="65"/>
      <c r="M48" s="65"/>
      <c r="N48" s="65"/>
      <c r="O48" s="66" t="str">
        <f t="shared" si="1"/>
        <v xml:space="preserve">, , , µm, , , , </v>
      </c>
    </row>
    <row r="49" spans="7:15" x14ac:dyDescent="0.25">
      <c r="G49" s="65"/>
      <c r="H49" s="65"/>
      <c r="I49" s="65"/>
      <c r="J49" s="65"/>
      <c r="K49" s="65"/>
      <c r="L49" s="65"/>
      <c r="M49" s="65"/>
      <c r="N49" s="65"/>
      <c r="O49" s="66" t="str">
        <f t="shared" si="1"/>
        <v xml:space="preserve">, , , µm, , , , </v>
      </c>
    </row>
    <row r="50" spans="7:15" x14ac:dyDescent="0.25">
      <c r="G50" s="65"/>
      <c r="H50" s="65"/>
      <c r="I50" s="65"/>
      <c r="J50" s="65"/>
      <c r="K50" s="65"/>
      <c r="L50" s="65"/>
      <c r="M50" s="65"/>
      <c r="N50" s="65"/>
      <c r="O50" s="66" t="str">
        <f t="shared" si="1"/>
        <v xml:space="preserve">, , , µm, , , , </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NESD Metadata</vt:lpstr>
      <vt:lpstr>Instructions</vt:lpstr>
      <vt:lpstr>Metadata Lists for 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Görüryilmaz, Mehmet Turan</cp:lastModifiedBy>
  <cp:revision>29</cp:revision>
  <dcterms:created xsi:type="dcterms:W3CDTF">2025-09-16T08:08:15Z</dcterms:created>
  <dcterms:modified xsi:type="dcterms:W3CDTF">2026-08-14T12:23:34Z</dcterms:modified>
  <dc:language>en-US</dc:language>
</cp:coreProperties>
</file>